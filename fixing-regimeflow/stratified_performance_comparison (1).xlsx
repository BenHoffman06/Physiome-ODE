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 benchmark" sheetId="1" r:id="rId5"/>
    <sheet state="visible" name="Old copy of Ben benchmark" sheetId="2" r:id="rId6"/>
    <sheet state="visible" name="ICML Table 1" sheetId="3" r:id="rId7"/>
    <sheet state="visible" name="Percentage Difference (% Off)" sheetId="4" r:id="rId8"/>
  </sheets>
  <definedNames/>
  <calcPr/>
</workbook>
</file>

<file path=xl/sharedStrings.xml><?xml version="1.0" encoding="utf-8"?>
<sst xmlns="http://schemas.openxmlformats.org/spreadsheetml/2006/main" count="220" uniqueCount="84">
  <si>
    <t>Model</t>
  </si>
  <si>
    <t>Overall MSE</t>
  </si>
  <si>
    <t>Overall MAE</t>
  </si>
  <si>
    <t>Complex MSE</t>
  </si>
  <si>
    <t>Complex MAE</t>
  </si>
  <si>
    <t>Stable MSE</t>
  </si>
  <si>
    <t>Stable MAE</t>
  </si>
  <si>
    <t>Oscillatory MSE</t>
  </si>
  <si>
    <t>Oscillatory MAE</t>
  </si>
  <si>
    <t>Monotonic MSE</t>
  </si>
  <si>
    <t>Monotonic MAE</t>
  </si>
  <si>
    <t>Point Forecasting</t>
  </si>
  <si>
    <t>DLinear</t>
  </si>
  <si>
    <t>iTransformer</t>
  </si>
  <si>
    <t>PatchTST</t>
  </si>
  <si>
    <t>TimeMixer</t>
  </si>
  <si>
    <t>TimeXer</t>
  </si>
  <si>
    <t>SMamba</t>
  </si>
  <si>
    <t>BiMamba4TS</t>
  </si>
  <si>
    <t>NSFormer</t>
  </si>
  <si>
    <t>Probabilistic Forecasting w/o Regime Condition</t>
  </si>
  <si>
    <t>CSDI</t>
  </si>
  <si>
    <t>TSDiff</t>
  </si>
  <si>
    <t>TSFlow</t>
  </si>
  <si>
    <t>Ours</t>
  </si>
  <si>
    <t>Probabilistic Forecasting w/ Regime Condition</t>
  </si>
  <si>
    <t>CSDI†</t>
  </si>
  <si>
    <t>TSDiff†</t>
  </si>
  <si>
    <t>TSFlow†</t>
  </si>
  <si>
    <t>Ours†</t>
  </si>
  <si>
    <t>FINAL COMBINED STRATIFIED BENCHMARK PERFORMANCE (TABLE 1 REPRODUCTION)</t>
  </si>
  <si>
    <t>| Model | Overall MSE | Overall MAE | Complex MSE | Complex MAE | Stable MSE | Stable MAE | Oscillatory MSE | Oscillatory MAE | Monotonic MSE | Monotonic MAE |</t>
  </si>
  <si>
    <t>| -------------------------------------------------- | ------------ | ------------ | ------------ | ------------ | ------------ | ------------ | --------------- | --------------- | ------------- | ------------- |</t>
  </si>
  <si>
    <t>| **Point Forecasting** | | | | | | | | | | |</t>
  </si>
  <si>
    <t>| DLinear | 0.0591±0.000 | 0.1702±0.000 | 0.0687±0.000 | 0.1767±0.000 | 0.0426±0.000 | 0.1490±0.000 | 0.1801±0.000 | 0.3135±0.000 | 0.0509±0.000 | 0.1813±0.000 |</t>
  </si>
  <si>
    <t>| iTransformer | 0.0250±0.000 | 0.0691±0.000 | 0.0204±0.000 | 0.0593±0.000 | 0.0181±0.000 | 0.0544±0.000 | 0.1067±0.000 | 0.2138±0.000 | 0.0185±0.000 | 0.0764±0.000 |</t>
  </si>
  <si>
    <t>| PatchTST | 0.0264±0.000 | 0.0722±0.000 | 0.0207±0.000 | 0.0617±0.000 | 0.0186±0.000 | 0.0558±0.000 | 0.1242±0.000 | 0.2377±0.000 | 0.0167±0.000 | 0.0764±0.000 |</t>
  </si>
  <si>
    <t>| TimeMixer | 0.0545±0.000 | 0.1516±0.000 | 0.0414±0.000 | 0.1138±0.000 | 0.0499±0.000 | 0.1463±0.000 | 0.1135±0.000 | 0.2374±0.000 | 0.0696±0.000 | 0.2072±0.000 |</t>
  </si>
  <si>
    <t>| TimeXer | 0.0199±0.000 | 0.0619±0.000 | 0.0158±0.000 | 0.0493±0.000 | 0.0131±0.000 | 0.0476±0.000 | 0.0974±0.000 | 0.2043±0.000 | 0.0152±0.000 | 0.0756±0.000 |</t>
  </si>
  <si>
    <t>| SMamba | 0.0325±0.000 | 0.0861±0.000 | 0.0335±0.000 | 0.0814±0.000 | 0.0230±0.000 | 0.0673±0.000 | 0.1152±0.000 | 0.2249±0.000 | 0.0293±0.000 | 0.1117±0.000 |</t>
  </si>
  <si>
    <t>| BiMamba4TS | 0.0270±0.000 | 0.0742±0.000 | 0.0218±0.000 | 0.0633±0.000 | 0.0195±0.000 | 0.0578±0.000 | 0.1139±0.000 | 0.2297±0.000 | 0.0222±0.000 | 0.0865±0.000 |</t>
  </si>
  <si>
    <t>| NSFormer | 0.0158±0.000 | 0.0581±0.000 | 0.0130±0.000 | 0.0497±0.000 | 0.0097±0.000 | 0.0453±0.000 | 0.0900±0.000 | 0.2075±0.000 | 0.0059±0.000 | 0.0472±0.000 |</t>
  </si>
  <si>
    <t>| Chronos | 0.1615±0.000 | 0.1762±0.000 | 0.4115±0.000 | 0.1957±0.000 | 0.0746±0.000 | 0.1539±0.000 | 0.2610±0.000 | 0.3340±0.000 | 0.0529±0.000 | 0.1551±0.000 |</t>
  </si>
  <si>
    <t>| **Probabilistic Forecasting w/o Regime Condition** | | | | | | | | | | |</t>
  </si>
  <si>
    <t>| CSDI | 0.0717±0.000 | 0.1878±0.000 | 0.0512±0.000 | 0.1518±0.000 | 0.0716±0.000 | 0.1886±0.000 | 0.1385±0.000 | 0.2859±0.000 | 0.0710±0.000 | 0.1934±0.000 |</t>
  </si>
  <si>
    <t>| TSDiff | 0.0879±0.000 | 0.1607±0.000 | 0.0838±0.000 | 0.1472±0.000 | 0.0820±0.000 | 0.1480±0.000 | 0.1635±0.000 | 0.2797±0.000 | 0.0793±0.000 | 0.1826±0.000 |</t>
  </si>
  <si>
    <t>| TSFlow | 0.0270±0.000 | 0.0663±0.000 | 0.0248±0.000 | 0.0620±0.000 | 0.0172±0.000 | 0.0486±0.000 | 0.1409±0.000 | 0.2525±0.000 | 0.0106±0.000 | 0.0500±0.000 |</t>
  </si>
  <si>
    <t>| Ours | 0.0207±0.000 | 0.0715±0.000 | 0.0198±0.000 | 0.0741±0.000 | 0.0126±0.000 | 0.0535±0.000 | 0.1118±0.000 | 0.2504±0.000 | 0.0068±0.000 | 0.0470±0.000 |</t>
  </si>
  <si>
    <t>| **Probabilistic Forecasting w/ Regime Condition** | | | | | | | | | | |</t>
  </si>
  <si>
    <t>| CSDI† | 0.0569±0.000 | 0.1719±0.000 | 0.0510±0.000 | 0.1446±0.000 | 0.0557±0.000 | 0.1750±0.000 | 0.0948±0.000 | 0.2326±0.000 | 0.0509±0.000 | 0.1712±0.000 |</t>
  </si>
  <si>
    <t>| TSDiff† | 0.0588±0.000 | 0.1485±0.000 | 0.0691±0.000 | 0.1330±0.000 | 0.0378±0.000 | 0.1277±0.000 | 0.2141±0.000 | 0.3413±0.000 | 0.0511±0.000 | 0.1717±0.000 |</t>
  </si>
  <si>
    <t>| TSFlow† | 0.0153±0.000 | 0.0550±0.000 | 0.0221±0.000 | 0.0611±0.000 | 0.0077±0.000 | 0.0405±0.000 | 0.0721±0.000 | 0.1757±0.000 | 0.0054±0.000 | 0.0430±0.000 |</t>
  </si>
  <si>
    <t>| Ours† | 0.0095±0.000 | 0.0461±0.000 | 0.0150±0.000 | 0.0635±0.000 | 0.0049±0.000 | 0.0315±0.000 | 0.0401±0.000 | 0.1340±0.000 | 0.0033±0.000 | 0.0324±0.000 |</t>
  </si>
  <si>
    <t>| Model                                              | Overall MSE  | Overall MAE  | Complex MSE  | Complex MAE  | Stable MSE   | Stable MAE   | Oscillatory MSE | Oscillatory MAE | Monotonic MSE | Monotonic MAE |</t>
  </si>
  <si>
    <t>| **Point Forecasting**                              |              |              |              |              |              |              |                 |                 |               |               |</t>
  </si>
  <si>
    <t>| DLinear                                            | 0.0591±0.000 | 0.1702±0.000 | 0.0687±0.000 | 0.1767±0.000 | 0.0426±0.000 | 0.1490±0.000 | 0.1801±0.000    | 0.3135±0.000    | 0.0509±0.000  | 0.1813±0.000  |</t>
  </si>
  <si>
    <t>| iTransformer                                       | 0.0250±0.000 | 0.0691±0.000 | 0.0204±0.000 | 0.0593±0.000 | 0.0181±0.000 | 0.0544±0.000 | 0.1067±0.000    | 0.2138±0.000    | 0.0185±0.000  | 0.0764±0.000  |</t>
  </si>
  <si>
    <t>| PatchTST                                           | 0.0264±0.000 | 0.0722±0.000 | 0.0207±0.000 | 0.0617±0.000 | 0.0186±0.000 | 0.0558±0.000 | 0.1242±0.000    | 0.2377±0.000    | 0.0167±0.000  | 0.0764±0.000  |</t>
  </si>
  <si>
    <t>| TimeMixer                                          | 0.0545±0.000 | 0.1516±0.000 | 0.0414±0.000 | 0.1138±0.000 | 0.0499±0.000 | 0.1463±0.000 | 0.1135±0.000    | 0.2374±0.000    | 0.0696±0.000  | 0.2072±0.000  |</t>
  </si>
  <si>
    <t>| TimeXer                                            | 0.0199±0.000 | 0.0619±0.000 | 0.0158±0.000 | 0.0493±0.000 | 0.0131±0.000 | 0.0476±0.000 | 0.0974±0.000    | 0.2043±0.000    | 0.0152±0.000  | 0.0756±0.000  |</t>
  </si>
  <si>
    <t>| SMamba                                             | 0.0325±0.000 | 0.0861±0.000 | 0.0335±0.000 | 0.0814±0.000 | 0.0230±0.000 | 0.0673±0.000 | 0.1152±0.000    | 0.2249±0.000    | 0.0293±0.000  | 0.1117±0.000  |</t>
  </si>
  <si>
    <t>| BiMamba4TS                                         | 0.0270±0.000 | 0.0742±0.000 | 0.0218±0.000 | 0.0633±0.000 | 0.0195±0.000 | 0.0578±0.000 | 0.1139±0.000    | 0.2297±0.000    | 0.0222±0.000  | 0.0865±0.000  |</t>
  </si>
  <si>
    <r>
      <rPr>
        <rFont val="Arial"/>
        <color rgb="FF000000"/>
      </rPr>
      <t xml:space="preserve">| NSFormer                                           | 0.0158±0.000 | 0.0581±0.000 | </t>
    </r>
    <r>
      <rPr>
        <rFont val="Arial"/>
        <b/>
        <color rgb="FF000000"/>
      </rPr>
      <t>0.0130±0.000</t>
    </r>
    <r>
      <rPr>
        <rFont val="Arial"/>
        <color rgb="FF000000"/>
      </rPr>
      <t xml:space="preserve"> | 0.0497±0.000 | 0.0097±0.000 | 0.0453±0.000 | 0.0900±0.000    | 0.2075±0.000    | 0.0059±0.000  | 0.0472±0.000  |</t>
    </r>
  </si>
  <si>
    <r>
      <rPr>
        <rFont val="Calibri"/>
        <color theme="1"/>
      </rPr>
      <t xml:space="preserve">| NSformer                                           | 0.0158±0.000 | 0.0581±0.000 | </t>
    </r>
    <r>
      <rPr>
        <rFont val="Calibri"/>
        <b/>
        <color theme="1"/>
      </rPr>
      <t>0.0158±0.000</t>
    </r>
    <r>
      <rPr>
        <rFont val="Calibri"/>
        <color theme="1"/>
      </rPr>
      <t xml:space="preserve"> | 0.0564±0.000 | 0.0169±0.000 | 0.0610±0.000 | 0.0166±0.000    | 0.0576±0.000    | 0.0068±0.000  | 0.0401±0.000  |</t>
    </r>
  </si>
  <si>
    <t>| Chronos                                            | 0.1615±0.000 | 0.1762±0.000 | 0.4115±0.000 | 0.1957±0.000 | 0.0746±0.000 | 0.1539±0.000 | 0.2610±0.000    | 0.3340±0.000    | 0.0529±0.000  | 0.1551±0.000  |</t>
  </si>
  <si>
    <t>| **Probabilistic Forecasting w/o Regime Condition** |              |              |              |              |              |              |                 |                 |               |               |</t>
  </si>
  <si>
    <t>| CSDI                                               | 0.0717±0.000 | 0.1878±0.000 | 0.0512±0.000 | 0.1518±0.000 | 0.0716±0.000 | 0.1886±0.000 | 0.1385±0.000    | 0.2859±0.000    | 0.0710±0.000  | 0.1934±0.000  |</t>
  </si>
  <si>
    <t>| TSDiff                                             | 0.0879±0.000 | 0.1607±0.000 | 0.0838±0.000 | 0.1472±0.000 | 0.0820±0.000 | 0.1480±0.000 | 0.1635±0.000    | 0.2797±0.000    | 0.0793±0.000  | 0.1826±0.000  |</t>
  </si>
  <si>
    <t>| TSFlow                                             | 0.0270±0.000 | 0.0663±0.000 | 0.0248±0.000 | 0.0620±0.000 | 0.0172±0.000 | 0.0486±0.000 | 0.1409±0.000    | 0.2525±0.000    | 0.0106±0.000  | 0.0500±0.000  |</t>
  </si>
  <si>
    <t>| Ours                                               | 0.0207±0.000 | 0.0715±0.000 | 0.0198±0.000 | 0.0741±0.000 | 0.0126±0.000 | 0.0535±0.000 | 0.1118±0.000    | 0.2504±0.000    | 0.0068±0.000  | 0.0470±0.000  |</t>
  </si>
  <si>
    <t>| **Probabilistic Forecasting w/ Regime Condition**  |              |              |              |              |              |              |                 |                 |               |               |</t>
  </si>
  <si>
    <t>| CSDI†                                              | 0.0569±0.000 | 0.1719±0.000 | 0.0510±0.000 | 0.1446±0.000 | 0.0557±0.000 | 0.1750±0.000 | 0.0948±0.000    | 0.2326±0.000    | 0.0509±0.000  | 0.1712±0.000  |</t>
  </si>
  <si>
    <t>| TSDiff†                                            | 0.0588±0.000 | 0.1485±0.000 | 0.0691±0.000 | 0.1330±0.000 | 0.0378±0.000 | 0.1277±0.000 | 0.2141±0.000    | 0.3413±0.000    | 0.0511±0.000  | 0.1717±0.000  |</t>
  </si>
  <si>
    <t>| TSFlow†                                            | 0.0153±0.000 | 0.0550±0.000 | 0.0221±0.000 | 0.0611±0.000 | 0.0077±0.000 | 0.0405±0.000 | 0.0721±0.000    | 0.1757±0.000    | 0.0054±0.000  | 0.0430±0.000  |</t>
  </si>
  <si>
    <t>| Ours†                                              | 0.0095±0.000 | 0.0461±0.000 | 0.0150±0.000 | 0.0635±0.000 | 0.0049±0.000 | 0.0315±0.000 | 0.0401±0.000    | 0.1340±0.000    | 0.0033±0.000  | 0.0324±0.000  |</t>
  </si>
  <si>
    <t>NSformer</t>
  </si>
  <si>
    <t>| Ours†                                              | 0.0106±0.001 | 0.0470±0.001 | 0.0288±0.014 | 0.0919±0.028 | 0.0052±0.000 | 0.0307±0.001 | 0.0390±0.001    | 0.1321±0.002    | 0.0037±0.000  | 0.0335±0.001  |</t>
  </si>
  <si>
    <t>Percentage Difference Comparison</t>
  </si>
  <si>
    <t>Green means my data has lower error</t>
  </si>
  <si>
    <t>Error</t>
  </si>
  <si>
    <t>Average</t>
  </si>
  <si>
    <t>Theory for why mine is better (particularly for complex regime)</t>
  </si>
  <si>
    <t xml:space="preserve">Because DLinear is a linear model, it converges very quickly, so early stopping shouldn't affect it much. Paper uses early stopping with patience of 5 epochs </t>
  </si>
  <si>
    <t>Mine trained for full 500 epochs, but still performed worse in some cases due to overfitting?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</si>
</sst>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\+0.0%;\-0.0%;0.0%"/>
  </numFmts>
  <fonts count="12">
    <font>
      <sz val="11.0"/>
      <color theme="1"/>
      <name val="Calibri"/>
      <scheme val="minor"/>
    </font>
    <font>
      <b/>
      <sz val="16.0"/>
      <color rgb="FF1E293B"/>
      <name val="Quattrocento Sans"/>
    </font>
    <font>
      <i/>
      <sz val="10.0"/>
      <color rgb="FF64748B"/>
      <name val="Quattrocento Sans"/>
    </font>
    <font>
      <b/>
      <sz val="11.0"/>
      <color rgb="FFFFFFFF"/>
      <name val="Quattrocento Sans"/>
    </font>
    <font>
      <b/>
      <sz val="12.0"/>
      <color rgb="FF1E293B"/>
      <name val="Quattrocento Sans"/>
    </font>
    <font>
      <b/>
      <sz val="10.0"/>
      <color rgb="FF334155"/>
      <name val="Quattrocento Sans"/>
    </font>
    <font>
      <sz val="10.0"/>
      <color rgb="FF000000"/>
      <name val="Quattrocento Sans"/>
    </font>
    <font>
      <b/>
      <sz val="10.0"/>
      <color rgb="FF000000"/>
      <name val="Quattrocento Sans"/>
    </font>
    <font>
      <color rgb="FF000000"/>
      <name val="Menlo"/>
    </font>
    <font>
      <color theme="1"/>
      <name val="Calibri"/>
      <scheme val="minor"/>
    </font>
    <font/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7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readingOrder="0" vertical="center"/>
    </xf>
    <xf borderId="1" fillId="2" fontId="3" numFmtId="0" xfId="0" applyAlignment="1" applyBorder="1" applyFont="1">
      <alignment horizontal="right" readingOrder="0" vertical="center"/>
    </xf>
    <xf borderId="2" fillId="3" fontId="4" numFmtId="0" xfId="0" applyAlignment="1" applyBorder="1" applyFill="1" applyFont="1">
      <alignment horizontal="left" readingOrder="0" vertical="center"/>
    </xf>
    <xf borderId="3" fillId="3" fontId="4" numFmtId="0" xfId="0" applyAlignment="1" applyBorder="1" applyFont="1">
      <alignment horizontal="left" vertical="center"/>
    </xf>
    <xf borderId="4" fillId="3" fontId="4" numFmtId="0" xfId="0" applyAlignment="1" applyBorder="1" applyFont="1">
      <alignment horizontal="left" vertical="center"/>
    </xf>
    <xf borderId="5" fillId="4" fontId="5" numFmtId="0" xfId="0" applyAlignment="1" applyBorder="1" applyFill="1" applyFont="1">
      <alignment horizontal="left" readingOrder="0" vertical="center"/>
    </xf>
    <xf borderId="5" fillId="4" fontId="6" numFmtId="164" xfId="0" applyAlignment="1" applyBorder="1" applyFont="1" applyNumberFormat="1">
      <alignment horizontal="right" readingOrder="0" vertical="center"/>
    </xf>
    <xf borderId="5" fillId="5" fontId="5" numFmtId="0" xfId="0" applyAlignment="1" applyBorder="1" applyFill="1" applyFont="1">
      <alignment horizontal="left" readingOrder="0" vertical="center"/>
    </xf>
    <xf borderId="5" fillId="5" fontId="6" numFmtId="164" xfId="0" applyAlignment="1" applyBorder="1" applyFont="1" applyNumberFormat="1">
      <alignment horizontal="right" readingOrder="0" vertical="center"/>
    </xf>
    <xf borderId="5" fillId="4" fontId="7" numFmtId="164" xfId="0" applyAlignment="1" applyBorder="1" applyFont="1" applyNumberFormat="1">
      <alignment horizontal="right" readingOrder="0" vertical="center"/>
    </xf>
    <xf borderId="5" fillId="5" fontId="6" numFmtId="0" xfId="0" applyAlignment="1" applyBorder="1" applyFont="1">
      <alignment horizontal="right" readingOrder="0" vertical="center"/>
    </xf>
    <xf borderId="0" fillId="4" fontId="8" numFmtId="0" xfId="0" applyAlignment="1" applyFont="1">
      <alignment horizontal="left" shrinkToFit="0" wrapText="1"/>
    </xf>
    <xf borderId="0" fillId="4" fontId="8" numFmtId="0" xfId="0" applyAlignment="1" applyFont="1">
      <alignment horizontal="left" readingOrder="0" shrinkToFit="0" wrapText="1"/>
    </xf>
    <xf borderId="0" fillId="0" fontId="9" numFmtId="0" xfId="0" applyFont="1"/>
    <xf borderId="0" fillId="0" fontId="9" numFmtId="0" xfId="0" applyAlignment="1" applyFont="1">
      <alignment readingOrder="0"/>
    </xf>
    <xf borderId="6" fillId="2" fontId="3" numFmtId="0" xfId="0" applyAlignment="1" applyBorder="1" applyFont="1">
      <alignment horizontal="left" vertical="center"/>
    </xf>
    <xf borderId="6" fillId="2" fontId="3" numFmtId="0" xfId="0" applyAlignment="1" applyBorder="1" applyFont="1">
      <alignment horizontal="right" vertical="center"/>
    </xf>
    <xf borderId="2" fillId="3" fontId="4" numFmtId="0" xfId="0" applyAlignment="1" applyBorder="1" applyFont="1">
      <alignment horizontal="left" vertical="center"/>
    </xf>
    <xf borderId="3" fillId="0" fontId="10" numFmtId="0" xfId="0" applyBorder="1" applyFont="1"/>
    <xf borderId="4" fillId="0" fontId="10" numFmtId="0" xfId="0" applyBorder="1" applyFont="1"/>
    <xf borderId="5" fillId="4" fontId="5" numFmtId="0" xfId="0" applyAlignment="1" applyBorder="1" applyFont="1">
      <alignment horizontal="left" vertical="center"/>
    </xf>
    <xf borderId="5" fillId="4" fontId="6" numFmtId="165" xfId="0" applyAlignment="1" applyBorder="1" applyFont="1" applyNumberFormat="1">
      <alignment horizontal="right" vertical="center"/>
    </xf>
    <xf borderId="5" fillId="5" fontId="5" numFmtId="0" xfId="0" applyAlignment="1" applyBorder="1" applyFont="1">
      <alignment horizontal="left" vertical="center"/>
    </xf>
    <xf borderId="5" fillId="5" fontId="6" numFmtId="165" xfId="0" applyAlignment="1" applyBorder="1" applyFont="1" applyNumberFormat="1">
      <alignment horizontal="right" vertical="center"/>
    </xf>
    <xf borderId="0" fillId="0" fontId="2" numFmtId="0" xfId="0" applyAlignment="1" applyFont="1">
      <alignment readingOrder="0"/>
    </xf>
    <xf borderId="5" fillId="4" fontId="5" numFmtId="166" xfId="0" applyAlignment="1" applyBorder="1" applyFont="1" applyNumberFormat="1">
      <alignment horizontal="left" vertical="center"/>
    </xf>
    <xf borderId="5" fillId="4" fontId="6" numFmtId="166" xfId="0" applyAlignment="1" applyBorder="1" applyFont="1" applyNumberFormat="1">
      <alignment horizontal="right" vertical="center"/>
    </xf>
    <xf borderId="5" fillId="5" fontId="5" numFmtId="166" xfId="0" applyAlignment="1" applyBorder="1" applyFont="1" applyNumberFormat="1">
      <alignment horizontal="left" vertical="center"/>
    </xf>
    <xf borderId="5" fillId="5" fontId="6" numFmtId="166" xfId="0" applyAlignment="1" applyBorder="1" applyFont="1" applyNumberFormat="1">
      <alignment horizontal="right" vertical="center"/>
    </xf>
    <xf borderId="2" fillId="3" fontId="4" numFmtId="166" xfId="0" applyAlignment="1" applyBorder="1" applyFont="1" applyNumberFormat="1">
      <alignment horizontal="left" vertical="center"/>
    </xf>
    <xf borderId="0" fillId="0" fontId="9" numFmtId="10" xfId="0" applyFont="1" applyNumberForma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11" width="16.0"/>
    <col customWidth="1" min="12" max="26" width="8.71"/>
  </cols>
  <sheetData>
    <row r="1" ht="24.75" customHeight="1">
      <c r="A1" s="1"/>
    </row>
    <row r="2" ht="18.0" customHeight="1">
      <c r="A2" s="2"/>
    </row>
    <row r="3" ht="14.25" customHeight="1"/>
    <row r="4" ht="27.75" customHeight="1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ht="24.0" customHeight="1">
      <c r="A5" s="5" t="s">
        <v>11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 ht="19.5" customHeight="1">
      <c r="A6" s="8" t="s">
        <v>12</v>
      </c>
      <c r="B6" s="9">
        <v>0.0591</v>
      </c>
      <c r="C6" s="9">
        <v>0.1702</v>
      </c>
      <c r="D6" s="9">
        <v>0.0687</v>
      </c>
      <c r="E6" s="9">
        <v>0.1767</v>
      </c>
      <c r="F6" s="9">
        <v>0.0426</v>
      </c>
      <c r="G6" s="9">
        <v>0.149</v>
      </c>
      <c r="H6" s="9">
        <v>0.1801</v>
      </c>
      <c r="I6" s="9">
        <v>0.3135</v>
      </c>
      <c r="J6" s="9">
        <v>0.0509</v>
      </c>
      <c r="K6" s="9">
        <v>0.1813</v>
      </c>
    </row>
    <row r="7" ht="19.5" customHeight="1">
      <c r="A7" s="10" t="s">
        <v>13</v>
      </c>
      <c r="B7" s="11">
        <v>0.025</v>
      </c>
      <c r="C7" s="11">
        <v>0.0691</v>
      </c>
      <c r="D7" s="11">
        <v>0.0204</v>
      </c>
      <c r="E7" s="11">
        <v>0.0593</v>
      </c>
      <c r="F7" s="11">
        <v>0.0181</v>
      </c>
      <c r="G7" s="11">
        <v>0.0544</v>
      </c>
      <c r="H7" s="11">
        <v>0.1067</v>
      </c>
      <c r="I7" s="11">
        <v>0.2138</v>
      </c>
      <c r="J7" s="11">
        <v>0.0185</v>
      </c>
      <c r="K7" s="11">
        <v>0.0764</v>
      </c>
    </row>
    <row r="8" ht="19.5" customHeight="1">
      <c r="A8" s="8" t="s">
        <v>14</v>
      </c>
      <c r="B8" s="9">
        <v>0.0264</v>
      </c>
      <c r="C8" s="9">
        <v>0.0722</v>
      </c>
      <c r="D8" s="9">
        <v>0.0207</v>
      </c>
      <c r="E8" s="9">
        <v>0.0617</v>
      </c>
      <c r="F8" s="9">
        <v>0.0186</v>
      </c>
      <c r="G8" s="9">
        <v>0.0558</v>
      </c>
      <c r="H8" s="9">
        <v>0.1242</v>
      </c>
      <c r="I8" s="9">
        <v>0.2377</v>
      </c>
      <c r="J8" s="9">
        <v>0.0167</v>
      </c>
      <c r="K8" s="9">
        <v>0.0764</v>
      </c>
    </row>
    <row r="9" ht="19.5" customHeight="1">
      <c r="A9" s="10" t="s">
        <v>15</v>
      </c>
      <c r="B9" s="11">
        <v>0.0545</v>
      </c>
      <c r="C9" s="11">
        <v>0.1516</v>
      </c>
      <c r="D9" s="11">
        <v>0.0414</v>
      </c>
      <c r="E9" s="11">
        <v>0.1138</v>
      </c>
      <c r="F9" s="11">
        <v>0.0499</v>
      </c>
      <c r="G9" s="11">
        <v>0.1463</v>
      </c>
      <c r="H9" s="11">
        <v>0.1135</v>
      </c>
      <c r="I9" s="11">
        <v>0.2374</v>
      </c>
      <c r="J9" s="11">
        <v>0.0696</v>
      </c>
      <c r="K9" s="11">
        <v>0.2072</v>
      </c>
    </row>
    <row r="10" ht="19.5" customHeight="1">
      <c r="A10" s="8" t="s">
        <v>16</v>
      </c>
      <c r="B10" s="9">
        <v>0.0199</v>
      </c>
      <c r="C10" s="9">
        <v>0.0619</v>
      </c>
      <c r="D10" s="12">
        <v>0.0158</v>
      </c>
      <c r="E10" s="9">
        <v>0.0493</v>
      </c>
      <c r="F10" s="9">
        <v>0.0131</v>
      </c>
      <c r="G10" s="9">
        <v>0.0476</v>
      </c>
      <c r="H10" s="9">
        <v>0.0974</v>
      </c>
      <c r="I10" s="9">
        <v>0.2043</v>
      </c>
      <c r="J10" s="9">
        <v>0.0152</v>
      </c>
      <c r="K10" s="9">
        <v>0.0756</v>
      </c>
    </row>
    <row r="11" ht="19.5" customHeight="1">
      <c r="A11" s="10" t="s">
        <v>17</v>
      </c>
      <c r="B11" s="11">
        <v>0.0325</v>
      </c>
      <c r="C11" s="11">
        <v>0.0861</v>
      </c>
      <c r="D11" s="11">
        <v>0.0335</v>
      </c>
      <c r="E11" s="11">
        <v>0.0814</v>
      </c>
      <c r="F11" s="11">
        <v>0.023</v>
      </c>
      <c r="G11" s="11">
        <v>0.0673</v>
      </c>
      <c r="H11" s="11">
        <v>0.1152</v>
      </c>
      <c r="I11" s="11">
        <v>0.2249</v>
      </c>
      <c r="J11" s="11">
        <v>0.0293</v>
      </c>
      <c r="K11" s="11">
        <v>0.1117</v>
      </c>
    </row>
    <row r="12" ht="19.5" customHeight="1">
      <c r="A12" s="8" t="s">
        <v>18</v>
      </c>
      <c r="B12" s="9">
        <v>0.027</v>
      </c>
      <c r="C12" s="9">
        <v>0.0742</v>
      </c>
      <c r="D12" s="9">
        <v>0.0218</v>
      </c>
      <c r="E12" s="9">
        <v>0.0633</v>
      </c>
      <c r="F12" s="9">
        <v>0.0195</v>
      </c>
      <c r="G12" s="9">
        <v>0.0578</v>
      </c>
      <c r="H12" s="9">
        <v>0.1139</v>
      </c>
      <c r="I12" s="9">
        <v>0.2297</v>
      </c>
      <c r="J12" s="9">
        <v>0.0222</v>
      </c>
      <c r="K12" s="9">
        <v>0.0865</v>
      </c>
    </row>
    <row r="13" ht="19.5" customHeight="1">
      <c r="A13" s="10" t="s">
        <v>19</v>
      </c>
      <c r="B13" s="11">
        <v>0.0158</v>
      </c>
      <c r="C13" s="11">
        <v>0.0581</v>
      </c>
      <c r="D13" s="11">
        <v>0.013</v>
      </c>
      <c r="E13" s="11">
        <v>0.0497</v>
      </c>
      <c r="F13" s="11">
        <v>0.0097</v>
      </c>
      <c r="G13" s="11">
        <v>0.0453</v>
      </c>
      <c r="H13" s="11">
        <v>0.09</v>
      </c>
      <c r="I13" s="11">
        <v>0.2075</v>
      </c>
      <c r="J13" s="11">
        <v>0.0059</v>
      </c>
      <c r="K13" s="11">
        <v>0.0472</v>
      </c>
    </row>
    <row r="14" ht="24.0" customHeight="1">
      <c r="A14" s="5" t="s">
        <v>20</v>
      </c>
      <c r="B14" s="6"/>
      <c r="C14" s="6"/>
      <c r="D14" s="6"/>
      <c r="E14" s="6"/>
      <c r="F14" s="6"/>
      <c r="G14" s="6"/>
      <c r="H14" s="6"/>
      <c r="I14" s="6"/>
      <c r="J14" s="6"/>
      <c r="K14" s="7"/>
    </row>
    <row r="15" ht="19.5" customHeight="1">
      <c r="A15" s="8" t="s">
        <v>21</v>
      </c>
      <c r="B15" s="9">
        <v>0.0717</v>
      </c>
      <c r="C15" s="9">
        <v>0.1878</v>
      </c>
      <c r="D15" s="9">
        <v>0.0512</v>
      </c>
      <c r="E15" s="9">
        <v>0.1518</v>
      </c>
      <c r="F15" s="9">
        <v>0.0716</v>
      </c>
      <c r="G15" s="9">
        <v>0.1886</v>
      </c>
      <c r="H15" s="9">
        <v>0.1385</v>
      </c>
      <c r="I15" s="9">
        <v>0.2859</v>
      </c>
      <c r="J15" s="9">
        <v>0.071</v>
      </c>
      <c r="K15" s="9">
        <v>0.1934</v>
      </c>
    </row>
    <row r="16" ht="19.5" customHeight="1">
      <c r="A16" s="10" t="s">
        <v>22</v>
      </c>
      <c r="B16" s="11">
        <v>0.0879</v>
      </c>
      <c r="C16" s="11">
        <v>0.1607</v>
      </c>
      <c r="D16" s="11">
        <v>0.0838</v>
      </c>
      <c r="E16" s="11">
        <v>0.1472</v>
      </c>
      <c r="F16" s="11">
        <v>0.082</v>
      </c>
      <c r="G16" s="11">
        <v>0.148</v>
      </c>
      <c r="H16" s="11">
        <v>0.1635</v>
      </c>
      <c r="I16" s="11">
        <v>0.2797</v>
      </c>
      <c r="J16" s="11">
        <v>0.0793</v>
      </c>
      <c r="K16" s="11">
        <v>0.1826</v>
      </c>
    </row>
    <row r="17" ht="19.5" customHeight="1">
      <c r="A17" s="8" t="s">
        <v>23</v>
      </c>
      <c r="B17" s="9">
        <v>0.027</v>
      </c>
      <c r="C17" s="9">
        <v>0.0663</v>
      </c>
      <c r="D17" s="9">
        <v>0.0248</v>
      </c>
      <c r="E17" s="9">
        <v>0.062</v>
      </c>
      <c r="F17" s="9">
        <v>0.0172</v>
      </c>
      <c r="G17" s="9">
        <v>0.0486</v>
      </c>
      <c r="H17" s="9">
        <v>0.1409</v>
      </c>
      <c r="I17" s="9">
        <v>0.2525</v>
      </c>
      <c r="J17" s="9">
        <v>0.0106</v>
      </c>
      <c r="K17" s="9">
        <v>0.05</v>
      </c>
    </row>
    <row r="18" ht="19.5" customHeight="1">
      <c r="A18" s="10" t="s">
        <v>24</v>
      </c>
      <c r="B18" s="11">
        <v>0.0207</v>
      </c>
      <c r="C18" s="11">
        <v>0.0715</v>
      </c>
      <c r="D18" s="11">
        <v>0.0198</v>
      </c>
      <c r="E18" s="11">
        <v>0.0741</v>
      </c>
      <c r="F18" s="11">
        <v>0.0126</v>
      </c>
      <c r="G18" s="11">
        <v>0.0535</v>
      </c>
      <c r="H18" s="11">
        <v>0.1118</v>
      </c>
      <c r="I18" s="11">
        <v>0.2504</v>
      </c>
      <c r="J18" s="11">
        <v>0.0068</v>
      </c>
      <c r="K18" s="11">
        <v>0.047</v>
      </c>
    </row>
    <row r="19" ht="24.0" customHeight="1">
      <c r="A19" s="5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7"/>
    </row>
    <row r="20" ht="19.5" customHeight="1">
      <c r="A20" s="8" t="s">
        <v>26</v>
      </c>
      <c r="B20" s="9">
        <v>0.0569</v>
      </c>
      <c r="C20" s="9">
        <v>0.1719</v>
      </c>
      <c r="D20" s="9">
        <v>0.051</v>
      </c>
      <c r="E20" s="9">
        <v>0.1446</v>
      </c>
      <c r="F20" s="9">
        <v>0.0557</v>
      </c>
      <c r="G20" s="9">
        <v>0.175</v>
      </c>
      <c r="H20" s="9">
        <v>0.0948</v>
      </c>
      <c r="I20" s="9">
        <v>0.2326</v>
      </c>
      <c r="J20" s="9">
        <v>0.0509</v>
      </c>
      <c r="K20" s="9">
        <v>0.1712</v>
      </c>
    </row>
    <row r="21" ht="19.5" customHeight="1">
      <c r="A21" s="10" t="s">
        <v>27</v>
      </c>
      <c r="B21" s="11">
        <v>0.0588</v>
      </c>
      <c r="C21" s="11">
        <v>0.1485</v>
      </c>
      <c r="D21" s="11">
        <v>0.0691</v>
      </c>
      <c r="E21" s="11">
        <v>0.133</v>
      </c>
      <c r="F21" s="11">
        <v>0.0378</v>
      </c>
      <c r="G21" s="11">
        <v>0.1277</v>
      </c>
      <c r="H21" s="11">
        <v>0.2141</v>
      </c>
      <c r="I21" s="11">
        <v>0.3413</v>
      </c>
      <c r="J21" s="11">
        <v>0.0511</v>
      </c>
      <c r="K21" s="11">
        <v>0.1717</v>
      </c>
    </row>
    <row r="22" ht="19.5" customHeight="1">
      <c r="A22" s="8" t="s">
        <v>28</v>
      </c>
      <c r="B22" s="9">
        <v>0.0153</v>
      </c>
      <c r="C22" s="9">
        <v>0.055</v>
      </c>
      <c r="D22" s="9">
        <v>0.0221</v>
      </c>
      <c r="E22" s="9">
        <v>0.0611</v>
      </c>
      <c r="F22" s="9">
        <v>0.0077</v>
      </c>
      <c r="G22" s="9">
        <v>0.0405</v>
      </c>
      <c r="H22" s="9">
        <v>0.0721</v>
      </c>
      <c r="I22" s="9">
        <v>0.1757</v>
      </c>
      <c r="J22" s="9">
        <v>0.0054</v>
      </c>
      <c r="K22" s="9">
        <v>0.043</v>
      </c>
    </row>
    <row r="23" ht="19.5" customHeight="1">
      <c r="A23" s="10" t="s">
        <v>29</v>
      </c>
      <c r="B23" s="13">
        <v>0.0106</v>
      </c>
      <c r="C23" s="13">
        <v>0.047</v>
      </c>
      <c r="D23" s="13">
        <v>0.0288</v>
      </c>
      <c r="E23" s="13">
        <v>0.0919</v>
      </c>
      <c r="F23" s="13">
        <v>0.0052</v>
      </c>
      <c r="G23" s="13">
        <v>0.0307</v>
      </c>
      <c r="H23" s="13">
        <v>0.039</v>
      </c>
      <c r="I23" s="13">
        <v>0.1321</v>
      </c>
      <c r="J23" s="13">
        <v>0.0037</v>
      </c>
      <c r="K23" s="13">
        <v>0.0335</v>
      </c>
    </row>
    <row r="24" ht="14.25" customHeight="1"/>
    <row r="25" ht="14.25" customHeight="1">
      <c r="A25" s="14"/>
    </row>
    <row r="26" ht="14.25" customHeight="1">
      <c r="A26" s="15"/>
    </row>
    <row r="27" ht="14.25" customHeight="1">
      <c r="A27" s="15"/>
    </row>
    <row r="28" ht="14.25" customHeight="1">
      <c r="A28" s="15"/>
    </row>
    <row r="29" ht="14.25" customHeight="1">
      <c r="A29" s="15"/>
    </row>
    <row r="30" ht="14.25" customHeight="1">
      <c r="A30" s="15"/>
    </row>
    <row r="31" ht="14.25" customHeight="1">
      <c r="A31" s="15"/>
    </row>
    <row r="32" ht="14.25" customHeight="1">
      <c r="A32" s="15"/>
    </row>
    <row r="33" ht="14.25" customHeight="1">
      <c r="A33" s="15"/>
    </row>
    <row r="34" ht="14.25" customHeight="1">
      <c r="A34" s="15"/>
    </row>
    <row r="35" ht="14.25" customHeight="1">
      <c r="A35" s="15"/>
    </row>
    <row r="36" ht="14.25" customHeight="1">
      <c r="A36" s="15"/>
    </row>
    <row r="37" ht="14.25" customHeight="1">
      <c r="A37" s="15"/>
    </row>
    <row r="38" ht="14.25" customHeight="1">
      <c r="A38" s="15"/>
    </row>
    <row r="39" ht="14.25" customHeight="1">
      <c r="A39" s="15"/>
    </row>
    <row r="40" ht="14.25" customHeight="1">
      <c r="A40" s="15"/>
    </row>
    <row r="41" ht="14.25" customHeight="1">
      <c r="A41" s="15"/>
    </row>
    <row r="42" ht="14.25" customHeight="1">
      <c r="A42" s="15"/>
    </row>
    <row r="43" ht="14.25" customHeight="1">
      <c r="A43" s="15"/>
    </row>
    <row r="44" ht="14.25" customHeight="1">
      <c r="A44" s="15"/>
    </row>
    <row r="45" ht="14.25" customHeight="1">
      <c r="A45" s="15"/>
    </row>
    <row r="46" ht="14.25" customHeight="1">
      <c r="A46" s="15"/>
      <c r="D46" s="16" t="str">
        <f>=======================================================================================================================</f>
        <v>#ERROR!</v>
      </c>
    </row>
    <row r="47" ht="14.25" customHeight="1">
      <c r="A47" s="15"/>
      <c r="D47" s="17" t="s">
        <v>30</v>
      </c>
    </row>
    <row r="48" ht="14.25" customHeight="1">
      <c r="A48" s="14"/>
      <c r="D48" s="16" t="str">
        <f>=======================================================================================================================</f>
        <v>#ERROR!</v>
      </c>
    </row>
    <row r="49" ht="14.25" customHeight="1">
      <c r="D49" s="17" t="s">
        <v>31</v>
      </c>
    </row>
    <row r="50" ht="14.25" customHeight="1">
      <c r="D50" s="17" t="s">
        <v>32</v>
      </c>
    </row>
    <row r="51" ht="14.25" customHeight="1">
      <c r="D51" s="17" t="s">
        <v>33</v>
      </c>
    </row>
    <row r="52" ht="14.25" customHeight="1">
      <c r="D52" s="17" t="s">
        <v>34</v>
      </c>
    </row>
    <row r="53" ht="14.25" customHeight="1">
      <c r="D53" s="17" t="s">
        <v>35</v>
      </c>
    </row>
    <row r="54" ht="14.25" customHeight="1">
      <c r="D54" s="17" t="s">
        <v>36</v>
      </c>
    </row>
    <row r="55" ht="14.25" customHeight="1">
      <c r="D55" s="17" t="s">
        <v>37</v>
      </c>
    </row>
    <row r="56" ht="14.25" customHeight="1">
      <c r="D56" s="17" t="s">
        <v>38</v>
      </c>
    </row>
    <row r="57" ht="14.25" customHeight="1">
      <c r="D57" s="17" t="s">
        <v>39</v>
      </c>
    </row>
    <row r="58" ht="14.25" customHeight="1">
      <c r="D58" s="17" t="s">
        <v>40</v>
      </c>
    </row>
    <row r="59" ht="14.25" customHeight="1">
      <c r="D59" s="17" t="s">
        <v>41</v>
      </c>
    </row>
    <row r="60" ht="14.25" customHeight="1">
      <c r="D60" s="17" t="s">
        <v>42</v>
      </c>
    </row>
    <row r="61" ht="14.25" customHeight="1">
      <c r="D61" s="17" t="s">
        <v>43</v>
      </c>
    </row>
    <row r="62" ht="14.25" customHeight="1">
      <c r="D62" s="17" t="s">
        <v>44</v>
      </c>
    </row>
    <row r="63" ht="14.25" customHeight="1">
      <c r="D63" s="17" t="s">
        <v>45</v>
      </c>
    </row>
    <row r="64" ht="14.25" customHeight="1">
      <c r="D64" s="17" t="s">
        <v>46</v>
      </c>
    </row>
    <row r="65" ht="14.25" customHeight="1">
      <c r="D65" s="17" t="s">
        <v>47</v>
      </c>
    </row>
    <row r="66" ht="14.25" customHeight="1">
      <c r="D66" s="17" t="s">
        <v>48</v>
      </c>
    </row>
    <row r="67" ht="14.25" customHeight="1">
      <c r="D67" s="17" t="s">
        <v>49</v>
      </c>
    </row>
    <row r="68" ht="14.25" customHeight="1">
      <c r="D68" s="17" t="s">
        <v>50</v>
      </c>
    </row>
    <row r="69" ht="14.25" customHeight="1">
      <c r="D69" s="17" t="s">
        <v>51</v>
      </c>
    </row>
    <row r="70" ht="14.25" customHeight="1">
      <c r="D70" s="17" t="s">
        <v>52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11" width="16.0"/>
    <col customWidth="1" min="12" max="26" width="8.71"/>
  </cols>
  <sheetData>
    <row r="1" ht="24.75" customHeight="1">
      <c r="A1" s="1"/>
    </row>
    <row r="2" ht="18.0" customHeight="1">
      <c r="A2" s="2"/>
    </row>
    <row r="3" ht="14.25" customHeight="1"/>
    <row r="4" ht="27.75" customHeight="1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ht="24.0" customHeight="1">
      <c r="A5" s="5" t="s">
        <v>11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 ht="19.5" customHeight="1">
      <c r="A6" s="8" t="s">
        <v>12</v>
      </c>
      <c r="B6" s="9">
        <v>0.0591</v>
      </c>
      <c r="C6" s="9">
        <v>0.1702</v>
      </c>
      <c r="D6" s="9">
        <v>0.0687</v>
      </c>
      <c r="E6" s="9">
        <v>0.1767</v>
      </c>
      <c r="F6" s="9">
        <v>0.0426</v>
      </c>
      <c r="G6" s="9">
        <v>0.149</v>
      </c>
      <c r="H6" s="9">
        <v>0.1801</v>
      </c>
      <c r="I6" s="9">
        <v>0.3135</v>
      </c>
      <c r="J6" s="9">
        <v>0.0509</v>
      </c>
      <c r="K6" s="9">
        <v>0.1813</v>
      </c>
    </row>
    <row r="7" ht="19.5" customHeight="1">
      <c r="A7" s="10" t="s">
        <v>13</v>
      </c>
      <c r="B7" s="11">
        <v>0.025</v>
      </c>
      <c r="C7" s="11">
        <v>0.0691</v>
      </c>
      <c r="D7" s="11">
        <v>0.0204</v>
      </c>
      <c r="E7" s="11">
        <v>0.0593</v>
      </c>
      <c r="F7" s="11">
        <v>0.0181</v>
      </c>
      <c r="G7" s="11">
        <v>0.0544</v>
      </c>
      <c r="H7" s="11">
        <v>0.1067</v>
      </c>
      <c r="I7" s="11">
        <v>0.2138</v>
      </c>
      <c r="J7" s="11">
        <v>0.0185</v>
      </c>
      <c r="K7" s="11">
        <v>0.0764</v>
      </c>
    </row>
    <row r="8" ht="19.5" customHeight="1">
      <c r="A8" s="8" t="s">
        <v>14</v>
      </c>
      <c r="B8" s="9">
        <v>0.0264</v>
      </c>
      <c r="C8" s="9">
        <v>0.0722</v>
      </c>
      <c r="D8" s="9">
        <v>0.0207</v>
      </c>
      <c r="E8" s="9">
        <v>0.0617</v>
      </c>
      <c r="F8" s="9">
        <v>0.0186</v>
      </c>
      <c r="G8" s="9">
        <v>0.0558</v>
      </c>
      <c r="H8" s="9">
        <v>0.1242</v>
      </c>
      <c r="I8" s="9">
        <v>0.2377</v>
      </c>
      <c r="J8" s="9">
        <v>0.0167</v>
      </c>
      <c r="K8" s="9">
        <v>0.0764</v>
      </c>
    </row>
    <row r="9" ht="19.5" customHeight="1">
      <c r="A9" s="10" t="s">
        <v>15</v>
      </c>
      <c r="B9" s="11">
        <v>0.0545</v>
      </c>
      <c r="C9" s="11">
        <v>0.1516</v>
      </c>
      <c r="D9" s="11">
        <v>0.0414</v>
      </c>
      <c r="E9" s="11">
        <v>0.1138</v>
      </c>
      <c r="F9" s="11">
        <v>0.0499</v>
      </c>
      <c r="G9" s="11">
        <v>0.1463</v>
      </c>
      <c r="H9" s="11">
        <v>0.1135</v>
      </c>
      <c r="I9" s="11">
        <v>0.2374</v>
      </c>
      <c r="J9" s="11">
        <v>0.0696</v>
      </c>
      <c r="K9" s="11">
        <v>0.2072</v>
      </c>
    </row>
    <row r="10" ht="19.5" customHeight="1">
      <c r="A10" s="8" t="s">
        <v>16</v>
      </c>
      <c r="B10" s="9">
        <v>0.0199</v>
      </c>
      <c r="C10" s="9">
        <v>0.0619</v>
      </c>
      <c r="D10" s="12">
        <v>0.0158</v>
      </c>
      <c r="E10" s="9">
        <v>0.0493</v>
      </c>
      <c r="F10" s="9">
        <v>0.0131</v>
      </c>
      <c r="G10" s="9">
        <v>0.0476</v>
      </c>
      <c r="H10" s="9">
        <v>0.0974</v>
      </c>
      <c r="I10" s="9">
        <v>0.2043</v>
      </c>
      <c r="J10" s="9">
        <v>0.0152</v>
      </c>
      <c r="K10" s="9">
        <v>0.0756</v>
      </c>
    </row>
    <row r="11" ht="19.5" customHeight="1">
      <c r="A11" s="10" t="s">
        <v>17</v>
      </c>
      <c r="B11" s="11">
        <v>0.0325</v>
      </c>
      <c r="C11" s="11">
        <v>0.0861</v>
      </c>
      <c r="D11" s="11">
        <v>0.0335</v>
      </c>
      <c r="E11" s="11">
        <v>0.0814</v>
      </c>
      <c r="F11" s="11">
        <v>0.023</v>
      </c>
      <c r="G11" s="11">
        <v>0.0673</v>
      </c>
      <c r="H11" s="11">
        <v>0.1152</v>
      </c>
      <c r="I11" s="11">
        <v>0.2249</v>
      </c>
      <c r="J11" s="11">
        <v>0.0293</v>
      </c>
      <c r="K11" s="11">
        <v>0.1117</v>
      </c>
    </row>
    <row r="12" ht="19.5" customHeight="1">
      <c r="A12" s="8" t="s">
        <v>18</v>
      </c>
      <c r="B12" s="9">
        <v>0.027</v>
      </c>
      <c r="C12" s="9">
        <v>0.0742</v>
      </c>
      <c r="D12" s="9">
        <v>0.0218</v>
      </c>
      <c r="E12" s="9">
        <v>0.0633</v>
      </c>
      <c r="F12" s="9">
        <v>0.0195</v>
      </c>
      <c r="G12" s="9">
        <v>0.0578</v>
      </c>
      <c r="H12" s="9">
        <v>0.1139</v>
      </c>
      <c r="I12" s="9">
        <v>0.2297</v>
      </c>
      <c r="J12" s="9">
        <v>0.0222</v>
      </c>
      <c r="K12" s="9">
        <v>0.0865</v>
      </c>
    </row>
    <row r="13" ht="19.5" customHeight="1">
      <c r="A13" s="10" t="s">
        <v>19</v>
      </c>
      <c r="B13" s="11">
        <v>0.0158</v>
      </c>
      <c r="C13" s="11">
        <v>0.0581</v>
      </c>
      <c r="D13" s="11">
        <v>0.013</v>
      </c>
      <c r="E13" s="11">
        <v>0.0497</v>
      </c>
      <c r="F13" s="11">
        <v>0.0097</v>
      </c>
      <c r="G13" s="11">
        <v>0.0453</v>
      </c>
      <c r="H13" s="11">
        <v>0.09</v>
      </c>
      <c r="I13" s="11">
        <v>0.2075</v>
      </c>
      <c r="J13" s="11">
        <v>0.0059</v>
      </c>
      <c r="K13" s="11">
        <v>0.0472</v>
      </c>
    </row>
    <row r="14" ht="24.0" customHeight="1">
      <c r="A14" s="5" t="s">
        <v>20</v>
      </c>
      <c r="B14" s="6"/>
      <c r="C14" s="6"/>
      <c r="D14" s="6"/>
      <c r="E14" s="6"/>
      <c r="F14" s="6"/>
      <c r="G14" s="6"/>
      <c r="H14" s="6"/>
      <c r="I14" s="6"/>
      <c r="J14" s="6"/>
      <c r="K14" s="7"/>
    </row>
    <row r="15" ht="19.5" customHeight="1">
      <c r="A15" s="8" t="s">
        <v>21</v>
      </c>
      <c r="B15" s="9">
        <v>0.0717</v>
      </c>
      <c r="C15" s="9">
        <v>0.1878</v>
      </c>
      <c r="D15" s="9">
        <v>0.0512</v>
      </c>
      <c r="E15" s="9">
        <v>0.1518</v>
      </c>
      <c r="F15" s="9">
        <v>0.0716</v>
      </c>
      <c r="G15" s="9">
        <v>0.1886</v>
      </c>
      <c r="H15" s="9">
        <v>0.1385</v>
      </c>
      <c r="I15" s="9">
        <v>0.2859</v>
      </c>
      <c r="J15" s="9">
        <v>0.071</v>
      </c>
      <c r="K15" s="9">
        <v>0.1934</v>
      </c>
    </row>
    <row r="16" ht="19.5" customHeight="1">
      <c r="A16" s="10" t="s">
        <v>22</v>
      </c>
      <c r="B16" s="11">
        <v>0.0879</v>
      </c>
      <c r="C16" s="11">
        <v>0.1607</v>
      </c>
      <c r="D16" s="11">
        <v>0.0838</v>
      </c>
      <c r="E16" s="11">
        <v>0.1472</v>
      </c>
      <c r="F16" s="11">
        <v>0.082</v>
      </c>
      <c r="G16" s="11">
        <v>0.148</v>
      </c>
      <c r="H16" s="11">
        <v>0.1635</v>
      </c>
      <c r="I16" s="11">
        <v>0.2797</v>
      </c>
      <c r="J16" s="11">
        <v>0.0793</v>
      </c>
      <c r="K16" s="11">
        <v>0.1826</v>
      </c>
    </row>
    <row r="17" ht="19.5" customHeight="1">
      <c r="A17" s="8" t="s">
        <v>23</v>
      </c>
      <c r="B17" s="9">
        <v>0.027</v>
      </c>
      <c r="C17" s="9">
        <v>0.0663</v>
      </c>
      <c r="D17" s="9">
        <v>0.0248</v>
      </c>
      <c r="E17" s="9">
        <v>0.062</v>
      </c>
      <c r="F17" s="9">
        <v>0.0172</v>
      </c>
      <c r="G17" s="9">
        <v>0.0486</v>
      </c>
      <c r="H17" s="9">
        <v>0.1409</v>
      </c>
      <c r="I17" s="9">
        <v>0.2525</v>
      </c>
      <c r="J17" s="9">
        <v>0.0106</v>
      </c>
      <c r="K17" s="9">
        <v>0.05</v>
      </c>
    </row>
    <row r="18" ht="19.5" customHeight="1">
      <c r="A18" s="10" t="s">
        <v>24</v>
      </c>
      <c r="B18" s="11">
        <v>0.0207</v>
      </c>
      <c r="C18" s="11">
        <v>0.0715</v>
      </c>
      <c r="D18" s="11">
        <v>0.0198</v>
      </c>
      <c r="E18" s="11">
        <v>0.0741</v>
      </c>
      <c r="F18" s="11">
        <v>0.0126</v>
      </c>
      <c r="G18" s="11">
        <v>0.0535</v>
      </c>
      <c r="H18" s="11">
        <v>0.1118</v>
      </c>
      <c r="I18" s="11">
        <v>0.2504</v>
      </c>
      <c r="J18" s="11">
        <v>0.0068</v>
      </c>
      <c r="K18" s="11">
        <v>0.047</v>
      </c>
    </row>
    <row r="19" ht="24.0" customHeight="1">
      <c r="A19" s="5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7"/>
    </row>
    <row r="20" ht="19.5" customHeight="1">
      <c r="A20" s="8" t="s">
        <v>26</v>
      </c>
      <c r="B20" s="9">
        <v>0.0569</v>
      </c>
      <c r="C20" s="9">
        <v>0.1719</v>
      </c>
      <c r="D20" s="9">
        <v>0.051</v>
      </c>
      <c r="E20" s="9">
        <v>0.1446</v>
      </c>
      <c r="F20" s="9">
        <v>0.0557</v>
      </c>
      <c r="G20" s="9">
        <v>0.175</v>
      </c>
      <c r="H20" s="9">
        <v>0.0948</v>
      </c>
      <c r="I20" s="9">
        <v>0.2326</v>
      </c>
      <c r="J20" s="9">
        <v>0.0509</v>
      </c>
      <c r="K20" s="9">
        <v>0.1712</v>
      </c>
    </row>
    <row r="21" ht="19.5" customHeight="1">
      <c r="A21" s="10" t="s">
        <v>27</v>
      </c>
      <c r="B21" s="11">
        <v>0.0588</v>
      </c>
      <c r="C21" s="11">
        <v>0.1485</v>
      </c>
      <c r="D21" s="11">
        <v>0.0691</v>
      </c>
      <c r="E21" s="11">
        <v>0.133</v>
      </c>
      <c r="F21" s="11">
        <v>0.0378</v>
      </c>
      <c r="G21" s="11">
        <v>0.1277</v>
      </c>
      <c r="H21" s="11">
        <v>0.2141</v>
      </c>
      <c r="I21" s="11">
        <v>0.3413</v>
      </c>
      <c r="J21" s="11">
        <v>0.0511</v>
      </c>
      <c r="K21" s="11">
        <v>0.1717</v>
      </c>
    </row>
    <row r="22" ht="19.5" customHeight="1">
      <c r="A22" s="8" t="s">
        <v>28</v>
      </c>
      <c r="B22" s="9">
        <v>0.0153</v>
      </c>
      <c r="C22" s="9">
        <v>0.055</v>
      </c>
      <c r="D22" s="9">
        <v>0.0221</v>
      </c>
      <c r="E22" s="9">
        <v>0.0611</v>
      </c>
      <c r="F22" s="9">
        <v>0.0077</v>
      </c>
      <c r="G22" s="9">
        <v>0.0405</v>
      </c>
      <c r="H22" s="9">
        <v>0.0721</v>
      </c>
      <c r="I22" s="9">
        <v>0.1757</v>
      </c>
      <c r="J22" s="9">
        <v>0.0054</v>
      </c>
      <c r="K22" s="9">
        <v>0.043</v>
      </c>
    </row>
    <row r="23" ht="19.5" customHeight="1">
      <c r="A23" s="10" t="s">
        <v>29</v>
      </c>
      <c r="B23" s="11">
        <v>0.0095</v>
      </c>
      <c r="C23" s="11">
        <v>0.0461</v>
      </c>
      <c r="D23" s="11">
        <v>0.015</v>
      </c>
      <c r="E23" s="11">
        <v>0.0635</v>
      </c>
      <c r="F23" s="11">
        <v>0.0049</v>
      </c>
      <c r="G23" s="11">
        <v>0.0315</v>
      </c>
      <c r="H23" s="11">
        <v>0.0401</v>
      </c>
      <c r="I23" s="11">
        <v>0.134</v>
      </c>
      <c r="J23" s="11">
        <v>0.0033</v>
      </c>
      <c r="K23" s="11">
        <v>0.0324</v>
      </c>
    </row>
    <row r="24" ht="14.25" customHeight="1"/>
    <row r="25" ht="14.25" customHeight="1">
      <c r="A25" s="14"/>
    </row>
    <row r="26" ht="14.25" customHeight="1">
      <c r="A26" s="15" t="s">
        <v>53</v>
      </c>
      <c r="C26" s="17" t="s">
        <v>30</v>
      </c>
    </row>
    <row r="27" ht="14.25" customHeight="1">
      <c r="A27" s="15" t="s">
        <v>32</v>
      </c>
    </row>
    <row r="28" ht="14.25" customHeight="1">
      <c r="A28" s="15" t="s">
        <v>54</v>
      </c>
      <c r="C28" s="17" t="s">
        <v>31</v>
      </c>
    </row>
    <row r="29" ht="14.25" customHeight="1">
      <c r="A29" s="15" t="s">
        <v>55</v>
      </c>
      <c r="C29" s="17" t="s">
        <v>32</v>
      </c>
    </row>
    <row r="30" ht="14.25" customHeight="1">
      <c r="A30" s="15" t="s">
        <v>56</v>
      </c>
      <c r="C30" s="17" t="s">
        <v>33</v>
      </c>
    </row>
    <row r="31" ht="14.25" customHeight="1">
      <c r="A31" s="15" t="s">
        <v>57</v>
      </c>
      <c r="C31" s="17" t="s">
        <v>34</v>
      </c>
    </row>
    <row r="32" ht="14.25" customHeight="1">
      <c r="A32" s="15" t="s">
        <v>58</v>
      </c>
      <c r="C32" s="17" t="s">
        <v>35</v>
      </c>
    </row>
    <row r="33" ht="14.25" customHeight="1">
      <c r="A33" s="15" t="s">
        <v>59</v>
      </c>
      <c r="C33" s="17" t="s">
        <v>36</v>
      </c>
    </row>
    <row r="34" ht="14.25" customHeight="1">
      <c r="A34" s="15" t="s">
        <v>60</v>
      </c>
      <c r="C34" s="17" t="s">
        <v>37</v>
      </c>
    </row>
    <row r="35" ht="14.25" customHeight="1">
      <c r="A35" s="15" t="s">
        <v>61</v>
      </c>
      <c r="C35" s="17" t="s">
        <v>38</v>
      </c>
    </row>
    <row r="36" ht="14.25" customHeight="1">
      <c r="A36" s="15" t="s">
        <v>62</v>
      </c>
      <c r="B36" s="17" t="s">
        <v>63</v>
      </c>
      <c r="C36" s="17" t="s">
        <v>39</v>
      </c>
    </row>
    <row r="37" ht="14.25" customHeight="1">
      <c r="A37" s="15" t="s">
        <v>64</v>
      </c>
      <c r="C37" s="17" t="s">
        <v>40</v>
      </c>
    </row>
    <row r="38" ht="14.25" customHeight="1">
      <c r="A38" s="15" t="s">
        <v>65</v>
      </c>
      <c r="C38" s="17" t="s">
        <v>41</v>
      </c>
    </row>
    <row r="39" ht="14.25" customHeight="1">
      <c r="A39" s="15" t="s">
        <v>66</v>
      </c>
      <c r="C39" s="17" t="s">
        <v>42</v>
      </c>
    </row>
    <row r="40" ht="14.25" customHeight="1">
      <c r="A40" s="15" t="s">
        <v>67</v>
      </c>
      <c r="C40" s="17" t="s">
        <v>43</v>
      </c>
    </row>
    <row r="41" ht="14.25" customHeight="1">
      <c r="A41" s="15" t="s">
        <v>68</v>
      </c>
      <c r="C41" s="17" t="s">
        <v>44</v>
      </c>
    </row>
    <row r="42" ht="14.25" customHeight="1">
      <c r="A42" s="15" t="s">
        <v>69</v>
      </c>
      <c r="C42" s="17" t="s">
        <v>45</v>
      </c>
    </row>
    <row r="43" ht="14.25" customHeight="1">
      <c r="A43" s="15" t="s">
        <v>70</v>
      </c>
      <c r="C43" s="17" t="s">
        <v>46</v>
      </c>
    </row>
    <row r="44" ht="14.25" customHeight="1">
      <c r="A44" s="15" t="s">
        <v>71</v>
      </c>
      <c r="C44" s="17" t="s">
        <v>47</v>
      </c>
    </row>
    <row r="45" ht="14.25" customHeight="1">
      <c r="A45" s="15" t="s">
        <v>72</v>
      </c>
      <c r="C45" s="17" t="s">
        <v>48</v>
      </c>
    </row>
    <row r="46" ht="14.25" customHeight="1">
      <c r="A46" s="15" t="s">
        <v>73</v>
      </c>
      <c r="C46" s="17" t="s">
        <v>49</v>
      </c>
      <c r="D46" s="16" t="str">
        <f>=======================================================================================================================</f>
        <v>#ERROR!</v>
      </c>
    </row>
    <row r="47" ht="14.25" customHeight="1">
      <c r="A47" s="15" t="s">
        <v>74</v>
      </c>
      <c r="C47" s="17" t="s">
        <v>50</v>
      </c>
      <c r="D47" s="17" t="s">
        <v>30</v>
      </c>
    </row>
    <row r="48" ht="14.25" customHeight="1">
      <c r="A48" s="14"/>
      <c r="C48" s="17" t="s">
        <v>51</v>
      </c>
      <c r="D48" s="16" t="str">
        <f>=======================================================================================================================</f>
        <v>#ERROR!</v>
      </c>
    </row>
    <row r="49" ht="14.25" customHeight="1">
      <c r="C49" s="17" t="s">
        <v>52</v>
      </c>
      <c r="D49" s="17" t="s">
        <v>31</v>
      </c>
    </row>
    <row r="50" ht="14.25" customHeight="1">
      <c r="D50" s="17" t="s">
        <v>32</v>
      </c>
    </row>
    <row r="51" ht="14.25" customHeight="1">
      <c r="D51" s="17" t="s">
        <v>33</v>
      </c>
    </row>
    <row r="52" ht="14.25" customHeight="1">
      <c r="D52" s="17" t="s">
        <v>34</v>
      </c>
    </row>
    <row r="53" ht="14.25" customHeight="1">
      <c r="D53" s="17" t="s">
        <v>35</v>
      </c>
    </row>
    <row r="54" ht="14.25" customHeight="1">
      <c r="D54" s="17" t="s">
        <v>36</v>
      </c>
    </row>
    <row r="55" ht="14.25" customHeight="1">
      <c r="D55" s="17" t="s">
        <v>37</v>
      </c>
    </row>
    <row r="56" ht="14.25" customHeight="1">
      <c r="D56" s="17" t="s">
        <v>38</v>
      </c>
    </row>
    <row r="57" ht="14.25" customHeight="1">
      <c r="D57" s="17" t="s">
        <v>39</v>
      </c>
    </row>
    <row r="58" ht="14.25" customHeight="1">
      <c r="D58" s="17" t="s">
        <v>40</v>
      </c>
    </row>
    <row r="59" ht="14.25" customHeight="1">
      <c r="D59" s="17" t="s">
        <v>41</v>
      </c>
    </row>
    <row r="60" ht="14.25" customHeight="1">
      <c r="D60" s="17" t="s">
        <v>42</v>
      </c>
    </row>
    <row r="61" ht="14.25" customHeight="1">
      <c r="D61" s="17" t="s">
        <v>43</v>
      </c>
    </row>
    <row r="62" ht="14.25" customHeight="1">
      <c r="D62" s="17" t="s">
        <v>44</v>
      </c>
    </row>
    <row r="63" ht="14.25" customHeight="1">
      <c r="D63" s="17" t="s">
        <v>45</v>
      </c>
    </row>
    <row r="64" ht="14.25" customHeight="1">
      <c r="D64" s="17" t="s">
        <v>46</v>
      </c>
    </row>
    <row r="65" ht="14.25" customHeight="1">
      <c r="D65" s="17" t="s">
        <v>47</v>
      </c>
    </row>
    <row r="66" ht="14.25" customHeight="1">
      <c r="D66" s="17" t="s">
        <v>48</v>
      </c>
    </row>
    <row r="67" ht="14.25" customHeight="1">
      <c r="D67" s="17" t="s">
        <v>49</v>
      </c>
    </row>
    <row r="68" ht="14.25" customHeight="1">
      <c r="D68" s="17" t="s">
        <v>50</v>
      </c>
    </row>
    <row r="69" ht="14.25" customHeight="1">
      <c r="D69" s="17" t="s">
        <v>51</v>
      </c>
    </row>
    <row r="70" ht="14.25" customHeight="1">
      <c r="D70" s="17" t="s">
        <v>52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11" width="16.0"/>
    <col customWidth="1" min="12" max="26" width="8.71"/>
  </cols>
  <sheetData>
    <row r="1" ht="24.75" customHeight="1">
      <c r="A1" s="1"/>
    </row>
    <row r="2" ht="18.0" customHeight="1">
      <c r="A2" s="2"/>
    </row>
    <row r="3" ht="14.25" customHeight="1"/>
    <row r="4" ht="27.75" customHeight="1">
      <c r="A4" s="18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</row>
    <row r="5" ht="24.0" customHeight="1">
      <c r="A5" s="20" t="s">
        <v>11</v>
      </c>
      <c r="B5" s="21"/>
      <c r="C5" s="21"/>
      <c r="D5" s="21"/>
      <c r="E5" s="21"/>
      <c r="F5" s="21"/>
      <c r="G5" s="21"/>
      <c r="H5" s="21"/>
      <c r="I5" s="21"/>
      <c r="J5" s="21"/>
      <c r="K5" s="22"/>
    </row>
    <row r="6" ht="19.5" customHeight="1">
      <c r="A6" s="23" t="s">
        <v>12</v>
      </c>
      <c r="B6" s="24">
        <v>0.061</v>
      </c>
      <c r="C6" s="24">
        <v>0.174</v>
      </c>
      <c r="D6" s="24">
        <v>0.079</v>
      </c>
      <c r="E6" s="24">
        <v>0.188</v>
      </c>
      <c r="F6" s="24">
        <v>0.046</v>
      </c>
      <c r="G6" s="24">
        <v>0.154</v>
      </c>
      <c r="H6" s="24">
        <v>0.156</v>
      </c>
      <c r="I6" s="24">
        <v>0.29</v>
      </c>
      <c r="J6" s="24">
        <v>0.051</v>
      </c>
      <c r="K6" s="24">
        <v>0.176</v>
      </c>
    </row>
    <row r="7" ht="19.5" customHeight="1">
      <c r="A7" s="25" t="s">
        <v>13</v>
      </c>
      <c r="B7" s="26">
        <v>0.045</v>
      </c>
      <c r="C7" s="26">
        <v>0.1</v>
      </c>
      <c r="D7" s="26">
        <v>0.07</v>
      </c>
      <c r="E7" s="26">
        <v>0.138</v>
      </c>
      <c r="F7" s="26">
        <v>0.032</v>
      </c>
      <c r="G7" s="26">
        <v>0.072</v>
      </c>
      <c r="H7" s="26">
        <v>0.127</v>
      </c>
      <c r="I7" s="26">
        <v>0.233</v>
      </c>
      <c r="J7" s="26">
        <v>0.03</v>
      </c>
      <c r="K7" s="26">
        <v>0.1</v>
      </c>
    </row>
    <row r="8" ht="19.5" customHeight="1">
      <c r="A8" s="23" t="s">
        <v>14</v>
      </c>
      <c r="B8" s="24">
        <v>0.041</v>
      </c>
      <c r="C8" s="24">
        <v>0.095</v>
      </c>
      <c r="D8" s="24">
        <v>0.062</v>
      </c>
      <c r="E8" s="24">
        <v>0.133</v>
      </c>
      <c r="F8" s="24">
        <v>0.028</v>
      </c>
      <c r="G8" s="24">
        <v>0.07</v>
      </c>
      <c r="H8" s="24">
        <v>0.128</v>
      </c>
      <c r="I8" s="24">
        <v>0.233</v>
      </c>
      <c r="J8" s="24">
        <v>0.021</v>
      </c>
      <c r="K8" s="24">
        <v>0.085</v>
      </c>
    </row>
    <row r="9" ht="19.5" customHeight="1">
      <c r="A9" s="25" t="s">
        <v>15</v>
      </c>
      <c r="B9" s="26">
        <v>0.051</v>
      </c>
      <c r="C9" s="26">
        <v>0.124</v>
      </c>
      <c r="D9" s="26">
        <v>0.07</v>
      </c>
      <c r="E9" s="26">
        <v>0.145</v>
      </c>
      <c r="F9" s="26">
        <v>0.038</v>
      </c>
      <c r="G9" s="26">
        <v>0.096</v>
      </c>
      <c r="H9" s="26">
        <v>0.112</v>
      </c>
      <c r="I9" s="26">
        <v>0.234</v>
      </c>
      <c r="J9" s="26">
        <v>0.053</v>
      </c>
      <c r="K9" s="26">
        <v>0.163</v>
      </c>
    </row>
    <row r="10" ht="19.5" customHeight="1">
      <c r="A10" s="23" t="s">
        <v>16</v>
      </c>
      <c r="B10" s="24">
        <v>0.043</v>
      </c>
      <c r="C10" s="24">
        <v>0.1</v>
      </c>
      <c r="D10" s="24">
        <v>0.069</v>
      </c>
      <c r="E10" s="24">
        <v>0.139</v>
      </c>
      <c r="F10" s="24">
        <v>0.03</v>
      </c>
      <c r="G10" s="24">
        <v>0.074</v>
      </c>
      <c r="H10" s="24">
        <v>0.123</v>
      </c>
      <c r="I10" s="24">
        <v>0.231</v>
      </c>
      <c r="J10" s="24">
        <v>0.025</v>
      </c>
      <c r="K10" s="24">
        <v>0.098</v>
      </c>
    </row>
    <row r="11" ht="19.5" customHeight="1">
      <c r="A11" s="25" t="s">
        <v>17</v>
      </c>
      <c r="B11" s="26">
        <v>0.045</v>
      </c>
      <c r="C11" s="26">
        <v>0.105</v>
      </c>
      <c r="D11" s="26">
        <v>0.068</v>
      </c>
      <c r="E11" s="26">
        <v>0.141</v>
      </c>
      <c r="F11" s="26">
        <v>0.033</v>
      </c>
      <c r="G11" s="26">
        <v>0.078</v>
      </c>
      <c r="H11" s="26">
        <v>0.114</v>
      </c>
      <c r="I11" s="26">
        <v>0.228</v>
      </c>
      <c r="J11" s="26">
        <v>0.035</v>
      </c>
      <c r="K11" s="26">
        <v>0.115</v>
      </c>
    </row>
    <row r="12" ht="19.5" customHeight="1">
      <c r="A12" s="23" t="s">
        <v>18</v>
      </c>
      <c r="B12" s="24">
        <v>0.045</v>
      </c>
      <c r="C12" s="24">
        <v>0.099</v>
      </c>
      <c r="D12" s="24">
        <v>0.07</v>
      </c>
      <c r="E12" s="24">
        <v>0.14</v>
      </c>
      <c r="F12" s="24">
        <v>0.031</v>
      </c>
      <c r="G12" s="24">
        <v>0.07</v>
      </c>
      <c r="H12" s="24">
        <v>0.125</v>
      </c>
      <c r="I12" s="24">
        <v>0.237</v>
      </c>
      <c r="J12" s="24">
        <v>0.03</v>
      </c>
      <c r="K12" s="24">
        <v>0.102</v>
      </c>
    </row>
    <row r="13" ht="19.5" customHeight="1">
      <c r="A13" s="25" t="s">
        <v>75</v>
      </c>
      <c r="B13" s="26">
        <v>0.028</v>
      </c>
      <c r="C13" s="26">
        <v>0.079</v>
      </c>
      <c r="D13" s="26">
        <v>0.048</v>
      </c>
      <c r="E13" s="26">
        <v>0.116</v>
      </c>
      <c r="F13" s="26">
        <v>0.017</v>
      </c>
      <c r="G13" s="26">
        <v>0.055</v>
      </c>
      <c r="H13" s="26">
        <v>0.1</v>
      </c>
      <c r="I13" s="26">
        <v>0.221</v>
      </c>
      <c r="J13" s="26">
        <v>0.011</v>
      </c>
      <c r="K13" s="26">
        <v>0.053</v>
      </c>
    </row>
    <row r="14" ht="24.0" customHeight="1">
      <c r="A14" s="20" t="s">
        <v>20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</row>
    <row r="15" ht="19.5" customHeight="1">
      <c r="A15" s="23" t="s">
        <v>21</v>
      </c>
      <c r="B15" s="24">
        <v>0.099</v>
      </c>
      <c r="C15" s="24">
        <v>0.254</v>
      </c>
      <c r="D15" s="24">
        <v>0.1</v>
      </c>
      <c r="E15" s="24">
        <v>0.25</v>
      </c>
      <c r="F15" s="24">
        <v>0.103</v>
      </c>
      <c r="G15" s="24">
        <v>0.264</v>
      </c>
      <c r="H15" s="24">
        <v>0.137</v>
      </c>
      <c r="I15" s="24">
        <v>0.304</v>
      </c>
      <c r="J15" s="24">
        <v>0.053</v>
      </c>
      <c r="K15" s="24">
        <v>0.172</v>
      </c>
    </row>
    <row r="16" ht="19.5" customHeight="1">
      <c r="A16" s="25" t="s">
        <v>22</v>
      </c>
      <c r="B16" s="26">
        <v>0.042</v>
      </c>
      <c r="C16" s="26">
        <v>0.118</v>
      </c>
      <c r="D16" s="26">
        <v>0.058</v>
      </c>
      <c r="E16" s="26">
        <v>0.146</v>
      </c>
      <c r="F16" s="26">
        <v>0.03</v>
      </c>
      <c r="G16" s="26">
        <v>0.096</v>
      </c>
      <c r="H16" s="26">
        <v>0.124</v>
      </c>
      <c r="I16" s="26">
        <v>0.263</v>
      </c>
      <c r="J16" s="26">
        <v>0.023</v>
      </c>
      <c r="K16" s="26">
        <v>0.092</v>
      </c>
    </row>
    <row r="17" ht="19.5" customHeight="1">
      <c r="A17" s="23" t="s">
        <v>23</v>
      </c>
      <c r="B17" s="24">
        <v>0.026</v>
      </c>
      <c r="C17" s="24">
        <v>0.075</v>
      </c>
      <c r="D17" s="24">
        <v>0.044</v>
      </c>
      <c r="E17" s="24">
        <v>0.111</v>
      </c>
      <c r="F17" s="24">
        <v>0.017</v>
      </c>
      <c r="G17" s="24">
        <v>0.055</v>
      </c>
      <c r="H17" s="24">
        <v>0.088</v>
      </c>
      <c r="I17" s="24">
        <v>0.208</v>
      </c>
      <c r="J17" s="24">
        <v>0.008</v>
      </c>
      <c r="K17" s="24">
        <v>0.044</v>
      </c>
    </row>
    <row r="18" ht="19.5" customHeight="1">
      <c r="A18" s="25" t="s">
        <v>24</v>
      </c>
      <c r="B18" s="26">
        <v>0.023</v>
      </c>
      <c r="C18" s="26">
        <v>0.067</v>
      </c>
      <c r="D18" s="26">
        <v>0.039</v>
      </c>
      <c r="E18" s="26">
        <v>0.102</v>
      </c>
      <c r="F18" s="26">
        <v>0.015</v>
      </c>
      <c r="G18" s="26">
        <v>0.046</v>
      </c>
      <c r="H18" s="26">
        <v>0.081</v>
      </c>
      <c r="I18" s="26">
        <v>0.196</v>
      </c>
      <c r="J18" s="26">
        <v>0.008</v>
      </c>
      <c r="K18" s="26">
        <v>0.041</v>
      </c>
    </row>
    <row r="19" ht="24.0" customHeight="1">
      <c r="A19" s="20" t="s">
        <v>25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</row>
    <row r="20" ht="19.5" customHeight="1">
      <c r="A20" s="23" t="s">
        <v>26</v>
      </c>
      <c r="B20" s="24">
        <v>0.076</v>
      </c>
      <c r="C20" s="24">
        <v>0.204</v>
      </c>
      <c r="D20" s="24">
        <v>0.1</v>
      </c>
      <c r="E20" s="24">
        <v>0.236</v>
      </c>
      <c r="F20" s="24">
        <v>0.072</v>
      </c>
      <c r="G20" s="24">
        <v>0.196</v>
      </c>
      <c r="H20" s="24">
        <v>0.105</v>
      </c>
      <c r="I20" s="24">
        <v>0.257</v>
      </c>
      <c r="J20" s="24">
        <v>0.06</v>
      </c>
      <c r="K20" s="24">
        <v>0.183</v>
      </c>
    </row>
    <row r="21" ht="19.5" customHeight="1">
      <c r="A21" s="25" t="s">
        <v>27</v>
      </c>
      <c r="B21" s="26">
        <v>0.034</v>
      </c>
      <c r="C21" s="26">
        <v>0.109</v>
      </c>
      <c r="D21" s="26">
        <v>0.088</v>
      </c>
      <c r="E21" s="26">
        <v>0.201</v>
      </c>
      <c r="F21" s="26">
        <v>0.014</v>
      </c>
      <c r="G21" s="26">
        <v>0.068</v>
      </c>
      <c r="H21" s="26">
        <v>0.118</v>
      </c>
      <c r="I21" s="26">
        <v>0.292</v>
      </c>
      <c r="J21" s="26">
        <v>0.014</v>
      </c>
      <c r="K21" s="26">
        <v>0.078</v>
      </c>
    </row>
    <row r="22" ht="19.5" customHeight="1">
      <c r="A22" s="23" t="s">
        <v>28</v>
      </c>
      <c r="B22" s="24">
        <v>0.016</v>
      </c>
      <c r="C22" s="24">
        <v>0.064</v>
      </c>
      <c r="D22" s="24">
        <v>0.039</v>
      </c>
      <c r="E22" s="24">
        <v>0.111</v>
      </c>
      <c r="F22" s="24">
        <v>0.008</v>
      </c>
      <c r="G22" s="24">
        <v>0.046</v>
      </c>
      <c r="H22" s="24">
        <v>0.044</v>
      </c>
      <c r="I22" s="24">
        <v>0.139</v>
      </c>
      <c r="J22" s="24">
        <v>0.008</v>
      </c>
      <c r="K22" s="24">
        <v>0.05</v>
      </c>
    </row>
    <row r="23" ht="19.5" customHeight="1">
      <c r="A23" s="25" t="s">
        <v>29</v>
      </c>
      <c r="B23" s="26">
        <v>0.012</v>
      </c>
      <c r="C23" s="26">
        <v>0.044</v>
      </c>
      <c r="D23" s="26">
        <v>0.034</v>
      </c>
      <c r="E23" s="26">
        <v>0.096</v>
      </c>
      <c r="F23" s="26">
        <v>0.006</v>
      </c>
      <c r="G23" s="26">
        <v>0.027</v>
      </c>
      <c r="H23" s="26">
        <v>0.035</v>
      </c>
      <c r="I23" s="26">
        <v>0.111</v>
      </c>
      <c r="J23" s="26">
        <v>0.006</v>
      </c>
      <c r="K23" s="26">
        <v>0.033</v>
      </c>
    </row>
    <row r="24" ht="14.25" customHeight="1"/>
    <row r="25" ht="14.25" customHeight="1">
      <c r="A25" s="15" t="s">
        <v>76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5:K5"/>
    <mergeCell ref="A14:K14"/>
    <mergeCell ref="A19:K1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11" width="16.0"/>
    <col customWidth="1" min="12" max="26" width="8.71"/>
  </cols>
  <sheetData>
    <row r="1" ht="24.75" customHeight="1">
      <c r="A1" s="1" t="s">
        <v>77</v>
      </c>
    </row>
    <row r="2" ht="18.0" customHeight="1">
      <c r="A2" s="27" t="s">
        <v>78</v>
      </c>
    </row>
    <row r="3" ht="14.25" customHeight="1"/>
    <row r="4" ht="27.75" customHeight="1">
      <c r="A4" s="18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</row>
    <row r="5" ht="24.0" customHeight="1">
      <c r="A5" s="20" t="s">
        <v>11</v>
      </c>
      <c r="B5" s="21"/>
      <c r="C5" s="21"/>
      <c r="D5" s="21"/>
      <c r="E5" s="21"/>
      <c r="F5" s="21"/>
      <c r="G5" s="21"/>
      <c r="H5" s="21"/>
      <c r="I5" s="21"/>
      <c r="J5" s="21"/>
      <c r="K5" s="22"/>
      <c r="M5" s="17" t="s">
        <v>79</v>
      </c>
    </row>
    <row r="6" ht="19.5" customHeight="1">
      <c r="A6" s="28" t="s">
        <v>12</v>
      </c>
      <c r="B6" s="29">
        <f>('ICML Table 1'!B6 - 'Ben benchmark'!B6) / 'Ben benchmark'!B6</f>
        <v>0.03214890017</v>
      </c>
      <c r="C6" s="29">
        <f>('ICML Table 1'!C6 - 'Ben benchmark'!C6) / 'Ben benchmark'!C6</f>
        <v>0.0223266745</v>
      </c>
      <c r="D6" s="29">
        <f>('ICML Table 1'!D6 - 'Ben benchmark'!D6) / 'Ben benchmark'!D6</f>
        <v>0.1499272198</v>
      </c>
      <c r="E6" s="29">
        <f>('ICML Table 1'!E6 - 'Ben benchmark'!E6) / 'Ben benchmark'!E6</f>
        <v>0.06395019808</v>
      </c>
      <c r="F6" s="29">
        <f>('ICML Table 1'!F6 - 'Ben benchmark'!F6) / 'Ben benchmark'!F6</f>
        <v>0.07981220657</v>
      </c>
      <c r="G6" s="29">
        <f>('ICML Table 1'!G6 - 'Ben benchmark'!G6) / 'Ben benchmark'!G6</f>
        <v>0.03355704698</v>
      </c>
      <c r="H6" s="29">
        <f>('ICML Table 1'!H6 - 'Ben benchmark'!H6) / 'Ben benchmark'!H6</f>
        <v>-0.1338145475</v>
      </c>
      <c r="I6" s="29">
        <f>('ICML Table 1'!I6 - 'Ben benchmark'!I6) / 'Ben benchmark'!I6</f>
        <v>-0.07496012759</v>
      </c>
      <c r="J6" s="29">
        <f>('ICML Table 1'!J6 - 'Ben benchmark'!J6) / 'Ben benchmark'!J6</f>
        <v>0.001964636542</v>
      </c>
      <c r="K6" s="29">
        <f>('ICML Table 1'!K6 - 'Ben benchmark'!K6) / 'Ben benchmark'!K6</f>
        <v>-0.02923331495</v>
      </c>
      <c r="M6" s="16">
        <f t="array" ref="M6">AVERAGE(ABS(B6:K6))</f>
        <v>0.06216948726</v>
      </c>
    </row>
    <row r="7" ht="19.5" customHeight="1">
      <c r="A7" s="30" t="s">
        <v>13</v>
      </c>
      <c r="B7" s="31">
        <f>('ICML Table 1'!B7 - 'Ben benchmark'!B7) / 'Ben benchmark'!B7</f>
        <v>0.8</v>
      </c>
      <c r="C7" s="31">
        <f>('ICML Table 1'!C7 - 'Ben benchmark'!C7) / 'Ben benchmark'!C7</f>
        <v>0.4471780029</v>
      </c>
      <c r="D7" s="31">
        <f>('ICML Table 1'!D7 - 'Ben benchmark'!D7) / 'Ben benchmark'!D7</f>
        <v>2.431372549</v>
      </c>
      <c r="E7" s="31">
        <f>('ICML Table 1'!E7 - 'Ben benchmark'!E7) / 'Ben benchmark'!E7</f>
        <v>1.327150084</v>
      </c>
      <c r="F7" s="31">
        <f>('ICML Table 1'!F7 - 'Ben benchmark'!F7) / 'Ben benchmark'!F7</f>
        <v>0.7679558011</v>
      </c>
      <c r="G7" s="31">
        <f>('ICML Table 1'!G7 - 'Ben benchmark'!G7) / 'Ben benchmark'!G7</f>
        <v>0.3235294118</v>
      </c>
      <c r="H7" s="31">
        <f>('ICML Table 1'!H7 - 'Ben benchmark'!H7) / 'Ben benchmark'!H7</f>
        <v>0.1902530459</v>
      </c>
      <c r="I7" s="31">
        <f>('ICML Table 1'!I7 - 'Ben benchmark'!I7) / 'Ben benchmark'!I7</f>
        <v>0.08980355472</v>
      </c>
      <c r="J7" s="31">
        <f>('ICML Table 1'!J7 - 'Ben benchmark'!J7) / 'Ben benchmark'!J7</f>
        <v>0.6216216216</v>
      </c>
      <c r="K7" s="31">
        <f>('ICML Table 1'!K7 - 'Ben benchmark'!K7) / 'Ben benchmark'!K7</f>
        <v>0.3089005236</v>
      </c>
      <c r="M7" s="16">
        <f t="array" ref="M7">AVERAGE(ABS(B7:K7))</f>
        <v>0.7307764595</v>
      </c>
    </row>
    <row r="8" ht="19.5" customHeight="1">
      <c r="A8" s="28" t="s">
        <v>14</v>
      </c>
      <c r="B8" s="29">
        <f>('ICML Table 1'!B8 - 'Ben benchmark'!B8) / 'Ben benchmark'!B8</f>
        <v>0.553030303</v>
      </c>
      <c r="C8" s="29">
        <f>('ICML Table 1'!C8 - 'Ben benchmark'!C8) / 'Ben benchmark'!C8</f>
        <v>0.3157894737</v>
      </c>
      <c r="D8" s="29">
        <f>('ICML Table 1'!D8 - 'Ben benchmark'!D8) / 'Ben benchmark'!D8</f>
        <v>1.995169082</v>
      </c>
      <c r="E8" s="29">
        <f>('ICML Table 1'!E8 - 'Ben benchmark'!E8) / 'Ben benchmark'!E8</f>
        <v>1.155591572</v>
      </c>
      <c r="F8" s="29">
        <f>('ICML Table 1'!F8 - 'Ben benchmark'!F8) / 'Ben benchmark'!F8</f>
        <v>0.5053763441</v>
      </c>
      <c r="G8" s="29">
        <f>('ICML Table 1'!G8 - 'Ben benchmark'!G8) / 'Ben benchmark'!G8</f>
        <v>0.2544802867</v>
      </c>
      <c r="H8" s="29">
        <f>('ICML Table 1'!H8 - 'Ben benchmark'!H8) / 'Ben benchmark'!H8</f>
        <v>0.0305958132</v>
      </c>
      <c r="I8" s="29">
        <f>('ICML Table 1'!I8 - 'Ben benchmark'!I8) / 'Ben benchmark'!I8</f>
        <v>-0.01977282289</v>
      </c>
      <c r="J8" s="29">
        <f>('ICML Table 1'!J8 - 'Ben benchmark'!J8) / 'Ben benchmark'!J8</f>
        <v>0.2574850299</v>
      </c>
      <c r="K8" s="29">
        <f>('ICML Table 1'!K8 - 'Ben benchmark'!K8) / 'Ben benchmark'!K8</f>
        <v>0.112565445</v>
      </c>
      <c r="M8" s="16">
        <f t="array" ref="M8">AVERAGE(ABS(B8:K8))</f>
        <v>0.5199856173</v>
      </c>
    </row>
    <row r="9" ht="19.5" customHeight="1">
      <c r="A9" s="30" t="s">
        <v>15</v>
      </c>
      <c r="B9" s="31">
        <f>('ICML Table 1'!B9 - 'Ben benchmark'!B9) / 'Ben benchmark'!B9</f>
        <v>-0.06422018349</v>
      </c>
      <c r="C9" s="31">
        <f>('ICML Table 1'!C9 - 'Ben benchmark'!C9) / 'Ben benchmark'!C9</f>
        <v>-0.1820580475</v>
      </c>
      <c r="D9" s="31">
        <f>('ICML Table 1'!D9 - 'Ben benchmark'!D9) / 'Ben benchmark'!D9</f>
        <v>0.690821256</v>
      </c>
      <c r="E9" s="31">
        <f>('ICML Table 1'!E9 - 'Ben benchmark'!E9) / 'Ben benchmark'!E9</f>
        <v>0.2741652021</v>
      </c>
      <c r="F9" s="31">
        <f>('ICML Table 1'!F9 - 'Ben benchmark'!F9) / 'Ben benchmark'!F9</f>
        <v>-0.2384769539</v>
      </c>
      <c r="G9" s="31">
        <f>('ICML Table 1'!G9 - 'Ben benchmark'!G9) / 'Ben benchmark'!G9</f>
        <v>-0.3438140807</v>
      </c>
      <c r="H9" s="31">
        <f>('ICML Table 1'!H9 - 'Ben benchmark'!H9) / 'Ben benchmark'!H9</f>
        <v>-0.01321585903</v>
      </c>
      <c r="I9" s="31">
        <f>('ICML Table 1'!I9 - 'Ben benchmark'!I9) / 'Ben benchmark'!I9</f>
        <v>-0.01432181971</v>
      </c>
      <c r="J9" s="31">
        <f>('ICML Table 1'!J9 - 'Ben benchmark'!J9) / 'Ben benchmark'!J9</f>
        <v>-0.2385057471</v>
      </c>
      <c r="K9" s="31">
        <f>('ICML Table 1'!K9 - 'Ben benchmark'!K9) / 'Ben benchmark'!K9</f>
        <v>-0.2133204633</v>
      </c>
      <c r="M9" s="16">
        <f t="array" ref="M9">AVERAGE(ABS(B9:K9))</f>
        <v>0.2272919613</v>
      </c>
    </row>
    <row r="10" ht="19.5" customHeight="1">
      <c r="A10" s="28" t="s">
        <v>16</v>
      </c>
      <c r="B10" s="29">
        <f>('ICML Table 1'!B10 - 'Ben benchmark'!B10) / 'Ben benchmark'!B10</f>
        <v>1.16080402</v>
      </c>
      <c r="C10" s="29">
        <f>('ICML Table 1'!C10 - 'Ben benchmark'!C10) / 'Ben benchmark'!C10</f>
        <v>0.6155088853</v>
      </c>
      <c r="D10" s="29">
        <f>('ICML Table 1'!D10 - 'Ben benchmark'!D10) / 'Ben benchmark'!D10</f>
        <v>3.367088608</v>
      </c>
      <c r="E10" s="29">
        <f>('ICML Table 1'!E10 - 'Ben benchmark'!E10) / 'Ben benchmark'!E10</f>
        <v>1.819472617</v>
      </c>
      <c r="F10" s="29">
        <f>('ICML Table 1'!F10 - 'Ben benchmark'!F10) / 'Ben benchmark'!F10</f>
        <v>1.290076336</v>
      </c>
      <c r="G10" s="29">
        <f>('ICML Table 1'!G10 - 'Ben benchmark'!G10) / 'Ben benchmark'!G10</f>
        <v>0.5546218487</v>
      </c>
      <c r="H10" s="29">
        <f>('ICML Table 1'!H10 - 'Ben benchmark'!H10) / 'Ben benchmark'!H10</f>
        <v>0.2628336756</v>
      </c>
      <c r="I10" s="29">
        <f>('ICML Table 1'!I10 - 'Ben benchmark'!I10) / 'Ben benchmark'!I10</f>
        <v>0.1306901615</v>
      </c>
      <c r="J10" s="29">
        <f>('ICML Table 1'!J10 - 'Ben benchmark'!J10) / 'Ben benchmark'!J10</f>
        <v>0.6447368421</v>
      </c>
      <c r="K10" s="29">
        <f>('ICML Table 1'!K10 - 'Ben benchmark'!K10) / 'Ben benchmark'!K10</f>
        <v>0.2962962963</v>
      </c>
      <c r="M10" s="16">
        <f t="array" ref="M10">AVERAGE(ABS(B10:K10))</f>
        <v>1.014212929</v>
      </c>
    </row>
    <row r="11" ht="19.5" customHeight="1">
      <c r="A11" s="30" t="s">
        <v>17</v>
      </c>
      <c r="B11" s="31">
        <f>('ICML Table 1'!B11 - 'Ben benchmark'!B11) / 'Ben benchmark'!B11</f>
        <v>0.3846153846</v>
      </c>
      <c r="C11" s="31">
        <f>('ICML Table 1'!C11 - 'Ben benchmark'!C11) / 'Ben benchmark'!C11</f>
        <v>0.2195121951</v>
      </c>
      <c r="D11" s="31">
        <f>('ICML Table 1'!D11 - 'Ben benchmark'!D11) / 'Ben benchmark'!D11</f>
        <v>1.029850746</v>
      </c>
      <c r="E11" s="31">
        <f>('ICML Table 1'!E11 - 'Ben benchmark'!E11) / 'Ben benchmark'!E11</f>
        <v>0.7321867322</v>
      </c>
      <c r="F11" s="31">
        <f>('ICML Table 1'!F11 - 'Ben benchmark'!F11) / 'Ben benchmark'!F11</f>
        <v>0.4347826087</v>
      </c>
      <c r="G11" s="31">
        <f>('ICML Table 1'!G11 - 'Ben benchmark'!G11) / 'Ben benchmark'!G11</f>
        <v>0.1589895988</v>
      </c>
      <c r="H11" s="31">
        <f>('ICML Table 1'!H11 - 'Ben benchmark'!H11) / 'Ben benchmark'!H11</f>
        <v>-0.01041666667</v>
      </c>
      <c r="I11" s="31">
        <f>('ICML Table 1'!I11 - 'Ben benchmark'!I11) / 'Ben benchmark'!I11</f>
        <v>0.01378390396</v>
      </c>
      <c r="J11" s="31">
        <f>('ICML Table 1'!J11 - 'Ben benchmark'!J11) / 'Ben benchmark'!J11</f>
        <v>0.1945392491</v>
      </c>
      <c r="K11" s="31">
        <f>('ICML Table 1'!K11 - 'Ben benchmark'!K11) / 'Ben benchmark'!K11</f>
        <v>0.02954341987</v>
      </c>
      <c r="M11" s="16">
        <f t="array" ref="M11">AVERAGE(ABS(B11:K11))</f>
        <v>0.3208220505</v>
      </c>
    </row>
    <row r="12" ht="19.5" customHeight="1">
      <c r="A12" s="28" t="s">
        <v>18</v>
      </c>
      <c r="B12" s="29">
        <f>('ICML Table 1'!B12 - 'Ben benchmark'!B12) / 'Ben benchmark'!B12</f>
        <v>0.6666666667</v>
      </c>
      <c r="C12" s="29">
        <f>('ICML Table 1'!C12 - 'Ben benchmark'!C12) / 'Ben benchmark'!C12</f>
        <v>0.3342318059</v>
      </c>
      <c r="D12" s="29">
        <f>('ICML Table 1'!D12 - 'Ben benchmark'!D12) / 'Ben benchmark'!D12</f>
        <v>2.211009174</v>
      </c>
      <c r="E12" s="29">
        <f>('ICML Table 1'!E12 - 'Ben benchmark'!E12) / 'Ben benchmark'!E12</f>
        <v>1.211690363</v>
      </c>
      <c r="F12" s="29">
        <f>('ICML Table 1'!F12 - 'Ben benchmark'!F12) / 'Ben benchmark'!F12</f>
        <v>0.5897435897</v>
      </c>
      <c r="G12" s="29">
        <f>('ICML Table 1'!G12 - 'Ben benchmark'!G12) / 'Ben benchmark'!G12</f>
        <v>0.2110726644</v>
      </c>
      <c r="H12" s="29">
        <f>('ICML Table 1'!H12 - 'Ben benchmark'!H12) / 'Ben benchmark'!H12</f>
        <v>0.09745390694</v>
      </c>
      <c r="I12" s="29">
        <f>('ICML Table 1'!I12 - 'Ben benchmark'!I12) / 'Ben benchmark'!I12</f>
        <v>0.03178058337</v>
      </c>
      <c r="J12" s="29">
        <f>('ICML Table 1'!J12 - 'Ben benchmark'!J12) / 'Ben benchmark'!J12</f>
        <v>0.3513513514</v>
      </c>
      <c r="K12" s="29">
        <f>('ICML Table 1'!K12 - 'Ben benchmark'!K12) / 'Ben benchmark'!K12</f>
        <v>0.1791907514</v>
      </c>
      <c r="M12" s="16">
        <f t="array" ref="M12">AVERAGE(ABS(B12:K12))</f>
        <v>0.5884190857</v>
      </c>
    </row>
    <row r="13" ht="19.5" customHeight="1">
      <c r="A13" s="30" t="s">
        <v>75</v>
      </c>
      <c r="B13" s="31">
        <f>('ICML Table 1'!B13 - 'Ben benchmark'!B13) / 'Ben benchmark'!B13</f>
        <v>0.7721518987</v>
      </c>
      <c r="C13" s="31">
        <f>('ICML Table 1'!C13 - 'Ben benchmark'!C13) / 'Ben benchmark'!C13</f>
        <v>0.3597246127</v>
      </c>
      <c r="D13" s="31">
        <f>('ICML Table 1'!D13 - 'Ben benchmark'!D13) / 'Ben benchmark'!D13</f>
        <v>2.692307692</v>
      </c>
      <c r="E13" s="31">
        <f>('ICML Table 1'!E13 - 'Ben benchmark'!E13) / 'Ben benchmark'!E13</f>
        <v>1.334004024</v>
      </c>
      <c r="F13" s="31">
        <f>('ICML Table 1'!F13 - 'Ben benchmark'!F13) / 'Ben benchmark'!F13</f>
        <v>0.7525773196</v>
      </c>
      <c r="G13" s="31">
        <f>('ICML Table 1'!G13 - 'Ben benchmark'!G13) / 'Ben benchmark'!G13</f>
        <v>0.2141280353</v>
      </c>
      <c r="H13" s="31">
        <f>('ICML Table 1'!H13 - 'Ben benchmark'!H13) / 'Ben benchmark'!H13</f>
        <v>0.1111111111</v>
      </c>
      <c r="I13" s="31">
        <f>('ICML Table 1'!I13 - 'Ben benchmark'!I13) / 'Ben benchmark'!I13</f>
        <v>0.06506024096</v>
      </c>
      <c r="J13" s="31">
        <f>('ICML Table 1'!J13 - 'Ben benchmark'!J13) / 'Ben benchmark'!J13</f>
        <v>0.8644067797</v>
      </c>
      <c r="K13" s="31">
        <f>('ICML Table 1'!K13 - 'Ben benchmark'!K13) / 'Ben benchmark'!K13</f>
        <v>0.1228813559</v>
      </c>
      <c r="M13" s="16">
        <f t="array" ref="M13">AVERAGE(ABS(B13:K13))</f>
        <v>0.728835307</v>
      </c>
    </row>
    <row r="14" ht="24.0" customHeight="1">
      <c r="A14" s="32" t="s">
        <v>20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</row>
    <row r="15" ht="19.5" customHeight="1">
      <c r="A15" s="28" t="s">
        <v>21</v>
      </c>
      <c r="B15" s="29">
        <f>('ICML Table 1'!B15 - 'Ben benchmark'!B15) / 'Ben benchmark'!B15</f>
        <v>0.3807531381</v>
      </c>
      <c r="C15" s="29">
        <f>('ICML Table 1'!C15 - 'Ben benchmark'!C15) / 'Ben benchmark'!C15</f>
        <v>0.3525026624</v>
      </c>
      <c r="D15" s="29">
        <f>('ICML Table 1'!D15 - 'Ben benchmark'!D15) / 'Ben benchmark'!D15</f>
        <v>0.953125</v>
      </c>
      <c r="E15" s="29">
        <f>('ICML Table 1'!E15 - 'Ben benchmark'!E15) / 'Ben benchmark'!E15</f>
        <v>0.6469038208</v>
      </c>
      <c r="F15" s="29">
        <f>('ICML Table 1'!F15 - 'Ben benchmark'!F15) / 'Ben benchmark'!F15</f>
        <v>0.438547486</v>
      </c>
      <c r="G15" s="29">
        <f>('ICML Table 1'!G15 - 'Ben benchmark'!G15) / 'Ben benchmark'!G15</f>
        <v>0.3997879109</v>
      </c>
      <c r="H15" s="29">
        <f>('ICML Table 1'!H15 - 'Ben benchmark'!H15) / 'Ben benchmark'!H15</f>
        <v>-0.01083032491</v>
      </c>
      <c r="I15" s="29">
        <f>('ICML Table 1'!I15 - 'Ben benchmark'!I15) / 'Ben benchmark'!I15</f>
        <v>0.06330884925</v>
      </c>
      <c r="J15" s="29">
        <f>('ICML Table 1'!J15 - 'Ben benchmark'!J15) / 'Ben benchmark'!J15</f>
        <v>-0.2535211268</v>
      </c>
      <c r="K15" s="29">
        <f>('ICML Table 1'!K15 - 'Ben benchmark'!K15) / 'Ben benchmark'!K15</f>
        <v>-0.1106514995</v>
      </c>
      <c r="M15" s="16">
        <f t="array" ref="M15">AVERAGE(ABS(B15:K15))</f>
        <v>0.3609931819</v>
      </c>
    </row>
    <row r="16" ht="19.5" customHeight="1">
      <c r="A16" s="30" t="s">
        <v>22</v>
      </c>
      <c r="B16" s="31">
        <f>('ICML Table 1'!B16 - 'Ben benchmark'!B16) / 'Ben benchmark'!B16</f>
        <v>-0.5221843003</v>
      </c>
      <c r="C16" s="31">
        <f>('ICML Table 1'!C16 - 'Ben benchmark'!C16) / 'Ben benchmark'!C16</f>
        <v>-0.2657125078</v>
      </c>
      <c r="D16" s="31">
        <f>('ICML Table 1'!D16 - 'Ben benchmark'!D16) / 'Ben benchmark'!D16</f>
        <v>-0.307875895</v>
      </c>
      <c r="E16" s="31">
        <f>('ICML Table 1'!E16 - 'Ben benchmark'!E16) / 'Ben benchmark'!E16</f>
        <v>-0.008152173913</v>
      </c>
      <c r="F16" s="31">
        <f>('ICML Table 1'!F16 - 'Ben benchmark'!F16) / 'Ben benchmark'!F16</f>
        <v>-0.6341463415</v>
      </c>
      <c r="G16" s="31">
        <f>('ICML Table 1'!G16 - 'Ben benchmark'!G16) / 'Ben benchmark'!G16</f>
        <v>-0.3513513514</v>
      </c>
      <c r="H16" s="31">
        <f>('ICML Table 1'!H16 - 'Ben benchmark'!H16) / 'Ben benchmark'!H16</f>
        <v>-0.2415902141</v>
      </c>
      <c r="I16" s="31">
        <f>('ICML Table 1'!I16 - 'Ben benchmark'!I16) / 'Ben benchmark'!I16</f>
        <v>-0.05970682875</v>
      </c>
      <c r="J16" s="31">
        <f>('ICML Table 1'!J16 - 'Ben benchmark'!J16) / 'Ben benchmark'!J16</f>
        <v>-0.709962169</v>
      </c>
      <c r="K16" s="31">
        <f>('ICML Table 1'!K16 - 'Ben benchmark'!K16) / 'Ben benchmark'!K16</f>
        <v>-0.4961664841</v>
      </c>
      <c r="M16" s="16">
        <f t="array" ref="M16">AVERAGE(ABS(B16:K16))</f>
        <v>0.3596848266</v>
      </c>
    </row>
    <row r="17" ht="19.5" customHeight="1">
      <c r="A17" s="28" t="s">
        <v>23</v>
      </c>
      <c r="B17" s="29">
        <f>('ICML Table 1'!B17 - 'Ben benchmark'!B17) / 'Ben benchmark'!B17</f>
        <v>-0.03703703704</v>
      </c>
      <c r="C17" s="29">
        <f>('ICML Table 1'!C17 - 'Ben benchmark'!C17) / 'Ben benchmark'!C17</f>
        <v>0.1312217195</v>
      </c>
      <c r="D17" s="29">
        <f>('ICML Table 1'!D17 - 'Ben benchmark'!D17) / 'Ben benchmark'!D17</f>
        <v>0.7741935484</v>
      </c>
      <c r="E17" s="29">
        <f>('ICML Table 1'!E17 - 'Ben benchmark'!E17) / 'Ben benchmark'!E17</f>
        <v>0.7903225806</v>
      </c>
      <c r="F17" s="29">
        <f>('ICML Table 1'!F17 - 'Ben benchmark'!F17) / 'Ben benchmark'!F17</f>
        <v>-0.01162790698</v>
      </c>
      <c r="G17" s="29">
        <f>('ICML Table 1'!G17 - 'Ben benchmark'!G17) / 'Ben benchmark'!G17</f>
        <v>0.1316872428</v>
      </c>
      <c r="H17" s="29">
        <f>('ICML Table 1'!H17 - 'Ben benchmark'!H17) / 'Ben benchmark'!H17</f>
        <v>-0.375443577</v>
      </c>
      <c r="I17" s="29">
        <f>('ICML Table 1'!I17 - 'Ben benchmark'!I17) / 'Ben benchmark'!I17</f>
        <v>-0.1762376238</v>
      </c>
      <c r="J17" s="29">
        <f>('ICML Table 1'!J17 - 'Ben benchmark'!J17) / 'Ben benchmark'!J17</f>
        <v>-0.2452830189</v>
      </c>
      <c r="K17" s="29">
        <f>('ICML Table 1'!K17 - 'Ben benchmark'!K17) / 'Ben benchmark'!K17</f>
        <v>-0.12</v>
      </c>
      <c r="M17" s="16">
        <f t="array" ref="M17">AVERAGE(ABS(B17:K17))</f>
        <v>0.2793054255</v>
      </c>
    </row>
    <row r="18" ht="19.5" customHeight="1">
      <c r="A18" s="30" t="s">
        <v>24</v>
      </c>
      <c r="B18" s="31">
        <f>('ICML Table 1'!B18 - 'Ben benchmark'!B18) / 'Ben benchmark'!B18</f>
        <v>0.1111111111</v>
      </c>
      <c r="C18" s="31">
        <f>('ICML Table 1'!C18 - 'Ben benchmark'!C18) / 'Ben benchmark'!C18</f>
        <v>-0.06293706294</v>
      </c>
      <c r="D18" s="31">
        <f>('ICML Table 1'!D18 - 'Ben benchmark'!D18) / 'Ben benchmark'!D18</f>
        <v>0.9696969697</v>
      </c>
      <c r="E18" s="31">
        <f>('ICML Table 1'!E18 - 'Ben benchmark'!E18) / 'Ben benchmark'!E18</f>
        <v>0.3765182186</v>
      </c>
      <c r="F18" s="31">
        <f>('ICML Table 1'!F18 - 'Ben benchmark'!F18) / 'Ben benchmark'!F18</f>
        <v>0.1904761905</v>
      </c>
      <c r="G18" s="31">
        <f>('ICML Table 1'!G18 - 'Ben benchmark'!G18) / 'Ben benchmark'!G18</f>
        <v>-0.1401869159</v>
      </c>
      <c r="H18" s="31">
        <f>('ICML Table 1'!H18 - 'Ben benchmark'!H18) / 'Ben benchmark'!H18</f>
        <v>-0.2754919499</v>
      </c>
      <c r="I18" s="31">
        <f>('ICML Table 1'!I18 - 'Ben benchmark'!I18) / 'Ben benchmark'!I18</f>
        <v>-0.2172523962</v>
      </c>
      <c r="J18" s="31">
        <f>('ICML Table 1'!J18 - 'Ben benchmark'!J18) / 'Ben benchmark'!J18</f>
        <v>0.1764705882</v>
      </c>
      <c r="K18" s="31">
        <f>('ICML Table 1'!K18 - 'Ben benchmark'!K18) / 'Ben benchmark'!K18</f>
        <v>-0.1276595745</v>
      </c>
      <c r="M18" s="16">
        <f t="array" ref="M18">AVERAGE(ABS(B18:K18))</f>
        <v>0.2647800978</v>
      </c>
    </row>
    <row r="19" ht="24.0" customHeight="1">
      <c r="A19" s="32" t="s">
        <v>25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</row>
    <row r="20" ht="19.5" customHeight="1">
      <c r="A20" s="28" t="s">
        <v>26</v>
      </c>
      <c r="B20" s="29">
        <f>('ICML Table 1'!B20 - 'Ben benchmark'!B20) / 'Ben benchmark'!B20</f>
        <v>0.3356766257</v>
      </c>
      <c r="C20" s="29">
        <f>('ICML Table 1'!C20 - 'Ben benchmark'!C20) / 'Ben benchmark'!C20</f>
        <v>0.1867364747</v>
      </c>
      <c r="D20" s="29">
        <f>('ICML Table 1'!D20 - 'Ben benchmark'!D20) / 'Ben benchmark'!D20</f>
        <v>0.9607843137</v>
      </c>
      <c r="E20" s="29">
        <f>('ICML Table 1'!E20 - 'Ben benchmark'!E20) / 'Ben benchmark'!E20</f>
        <v>0.6320885201</v>
      </c>
      <c r="F20" s="29">
        <f>('ICML Table 1'!F20 - 'Ben benchmark'!F20) / 'Ben benchmark'!F20</f>
        <v>0.2926391382</v>
      </c>
      <c r="G20" s="29">
        <f>('ICML Table 1'!G20 - 'Ben benchmark'!G20) / 'Ben benchmark'!G20</f>
        <v>0.12</v>
      </c>
      <c r="H20" s="29">
        <f>('ICML Table 1'!H20 - 'Ben benchmark'!H20) / 'Ben benchmark'!H20</f>
        <v>0.1075949367</v>
      </c>
      <c r="I20" s="29">
        <f>('ICML Table 1'!I20 - 'Ben benchmark'!I20) / 'Ben benchmark'!I20</f>
        <v>0.1049011178</v>
      </c>
      <c r="J20" s="29">
        <f>('ICML Table 1'!J20 - 'Ben benchmark'!J20) / 'Ben benchmark'!J20</f>
        <v>0.1787819253</v>
      </c>
      <c r="K20" s="29">
        <f>('ICML Table 1'!K20 - 'Ben benchmark'!K20) / 'Ben benchmark'!K20</f>
        <v>0.06892523364</v>
      </c>
      <c r="M20" s="16">
        <f t="array" ref="M20">AVERAGE(ABS(B20:K20))</f>
        <v>0.2988128286</v>
      </c>
    </row>
    <row r="21" ht="19.5" customHeight="1">
      <c r="A21" s="30" t="s">
        <v>27</v>
      </c>
      <c r="B21" s="31">
        <f>('ICML Table 1'!B21 - 'Ben benchmark'!B21) / 'Ben benchmark'!B21</f>
        <v>-0.4217687075</v>
      </c>
      <c r="C21" s="31">
        <f>('ICML Table 1'!C21 - 'Ben benchmark'!C21) / 'Ben benchmark'!C21</f>
        <v>-0.265993266</v>
      </c>
      <c r="D21" s="31">
        <f>('ICML Table 1'!D21 - 'Ben benchmark'!D21) / 'Ben benchmark'!D21</f>
        <v>0.2735166425</v>
      </c>
      <c r="E21" s="31">
        <f>('ICML Table 1'!E21 - 'Ben benchmark'!E21) / 'Ben benchmark'!E21</f>
        <v>0.5112781955</v>
      </c>
      <c r="F21" s="31">
        <f>('ICML Table 1'!F21 - 'Ben benchmark'!F21) / 'Ben benchmark'!F21</f>
        <v>-0.6296296296</v>
      </c>
      <c r="G21" s="31">
        <f>('ICML Table 1'!G21 - 'Ben benchmark'!G21) / 'Ben benchmark'!G21</f>
        <v>-0.4675019577</v>
      </c>
      <c r="H21" s="31">
        <f>('ICML Table 1'!H21 - 'Ben benchmark'!H21) / 'Ben benchmark'!H21</f>
        <v>-0.4488556749</v>
      </c>
      <c r="I21" s="31">
        <f>('ICML Table 1'!I21 - 'Ben benchmark'!I21) / 'Ben benchmark'!I21</f>
        <v>-0.1444477</v>
      </c>
      <c r="J21" s="31">
        <f>('ICML Table 1'!J21 - 'Ben benchmark'!J21) / 'Ben benchmark'!J21</f>
        <v>-0.7260273973</v>
      </c>
      <c r="K21" s="31">
        <f>('ICML Table 1'!K21 - 'Ben benchmark'!K21) / 'Ben benchmark'!K21</f>
        <v>-0.5457192778</v>
      </c>
      <c r="M21" s="16">
        <f t="array" ref="M21">AVERAGE(ABS(B21:K21))</f>
        <v>0.4434738449</v>
      </c>
    </row>
    <row r="22" ht="19.5" customHeight="1">
      <c r="A22" s="28" t="s">
        <v>28</v>
      </c>
      <c r="B22" s="29">
        <f>('ICML Table 1'!B22 - 'Ben benchmark'!B22) / 'Ben benchmark'!B22</f>
        <v>0.04575163399</v>
      </c>
      <c r="C22" s="29">
        <f>('ICML Table 1'!C22 - 'Ben benchmark'!C22) / 'Ben benchmark'!C22</f>
        <v>0.1636363636</v>
      </c>
      <c r="D22" s="29">
        <f>('ICML Table 1'!D22 - 'Ben benchmark'!D22) / 'Ben benchmark'!D22</f>
        <v>0.7647058824</v>
      </c>
      <c r="E22" s="29">
        <f>('ICML Table 1'!E22 - 'Ben benchmark'!E22) / 'Ben benchmark'!E22</f>
        <v>0.8166939444</v>
      </c>
      <c r="F22" s="29">
        <f>('ICML Table 1'!F22 - 'Ben benchmark'!F22) / 'Ben benchmark'!F22</f>
        <v>0.03896103896</v>
      </c>
      <c r="G22" s="29">
        <f>('ICML Table 1'!G22 - 'Ben benchmark'!G22) / 'Ben benchmark'!G22</f>
        <v>0.1358024691</v>
      </c>
      <c r="H22" s="29">
        <f>('ICML Table 1'!H22 - 'Ben benchmark'!H22) / 'Ben benchmark'!H22</f>
        <v>-0.3897364771</v>
      </c>
      <c r="I22" s="29">
        <f>('ICML Table 1'!I22 - 'Ben benchmark'!I22) / 'Ben benchmark'!I22</f>
        <v>-0.2088787706</v>
      </c>
      <c r="J22" s="29">
        <f>('ICML Table 1'!J22 - 'Ben benchmark'!J22) / 'Ben benchmark'!J22</f>
        <v>0.4814814815</v>
      </c>
      <c r="K22" s="29">
        <f>('ICML Table 1'!K22 - 'Ben benchmark'!K22) / 'Ben benchmark'!K22</f>
        <v>0.1627906977</v>
      </c>
      <c r="M22" s="16">
        <f t="array" ref="M22">AVERAGE(ABS(B22:K22))</f>
        <v>0.3208438759</v>
      </c>
    </row>
    <row r="23" ht="19.5" customHeight="1">
      <c r="A23" s="30" t="s">
        <v>29</v>
      </c>
      <c r="B23" s="31">
        <f>('ICML Table 1'!B23 - 'Ben benchmark'!B23) / 'Ben benchmark'!B23</f>
        <v>0.1320754717</v>
      </c>
      <c r="C23" s="31">
        <f>('ICML Table 1'!C23 - 'Ben benchmark'!C23) / 'Ben benchmark'!C23</f>
        <v>-0.06382978723</v>
      </c>
      <c r="D23" s="31">
        <f>('ICML Table 1'!D23 - 'Ben benchmark'!D23) / 'Ben benchmark'!D23</f>
        <v>0.1805555556</v>
      </c>
      <c r="E23" s="31">
        <f>('ICML Table 1'!E23 - 'Ben benchmark'!E23) / 'Ben benchmark'!E23</f>
        <v>0.04461371055</v>
      </c>
      <c r="F23" s="31">
        <f>('ICML Table 1'!F23 - 'Ben benchmark'!F23) / 'Ben benchmark'!F23</f>
        <v>0.1538461538</v>
      </c>
      <c r="G23" s="31">
        <f>('ICML Table 1'!G23 - 'Ben benchmark'!G23) / 'Ben benchmark'!G23</f>
        <v>-0.1205211726</v>
      </c>
      <c r="H23" s="31">
        <f>('ICML Table 1'!H23 - 'Ben benchmark'!H23) / 'Ben benchmark'!H23</f>
        <v>-0.1025641026</v>
      </c>
      <c r="I23" s="31">
        <f>('ICML Table 1'!I23 - 'Ben benchmark'!I23) / 'Ben benchmark'!I23</f>
        <v>-0.1597274792</v>
      </c>
      <c r="J23" s="31">
        <f>('ICML Table 1'!J23 - 'Ben benchmark'!J23) / 'Ben benchmark'!J23</f>
        <v>0.6216216216</v>
      </c>
      <c r="K23" s="31">
        <f>('ICML Table 1'!K23 - 'Ben benchmark'!K23) / 'Ben benchmark'!K23</f>
        <v>-0.01492537313</v>
      </c>
      <c r="M23" s="16">
        <f t="array" ref="M23">AVERAGE(ABS(B23:K23))</f>
        <v>0.1594280428</v>
      </c>
    </row>
    <row r="24" ht="14.25" customHeight="1"/>
    <row r="25" ht="14.25" customHeight="1"/>
    <row r="26" ht="14.25" customHeight="1">
      <c r="A26" s="17" t="s">
        <v>80</v>
      </c>
      <c r="B26" s="33">
        <f t="shared" ref="B26:K26" si="1">AVERAGE(B5:B23)</f>
        <v>0.2705984328</v>
      </c>
      <c r="C26" s="33">
        <f t="shared" si="1"/>
        <v>0.1442398874</v>
      </c>
      <c r="D26" s="33">
        <f t="shared" si="1"/>
        <v>1.196015522</v>
      </c>
      <c r="E26" s="33">
        <f t="shared" si="1"/>
        <v>0.7330298506</v>
      </c>
      <c r="F26" s="33">
        <f t="shared" si="1"/>
        <v>0.2513070863</v>
      </c>
      <c r="G26" s="33">
        <f t="shared" si="1"/>
        <v>0.06964256483</v>
      </c>
      <c r="H26" s="33">
        <f t="shared" si="1"/>
        <v>-0.07513230651</v>
      </c>
      <c r="I26" s="33">
        <f t="shared" si="1"/>
        <v>-0.03599857232</v>
      </c>
      <c r="J26" s="33">
        <f t="shared" si="1"/>
        <v>0.1388226043</v>
      </c>
      <c r="K26" s="33">
        <f t="shared" si="1"/>
        <v>-0.02353639149</v>
      </c>
    </row>
    <row r="27" ht="14.25" customHeight="1"/>
    <row r="28" ht="14.25" customHeight="1">
      <c r="A28" s="34" t="s">
        <v>81</v>
      </c>
    </row>
    <row r="29" ht="14.25" customHeight="1">
      <c r="A29" s="17" t="s">
        <v>82</v>
      </c>
    </row>
    <row r="30" ht="14.25" customHeight="1">
      <c r="A30" s="17" t="s">
        <v>83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5:K5"/>
    <mergeCell ref="A14:K14"/>
    <mergeCell ref="A19:K19"/>
  </mergeCells>
  <conditionalFormatting sqref="A6:K27">
    <cfRule type="colorScale" priority="1">
      <colorScale>
        <cfvo type="formula" val="-3.367088608"/>
        <cfvo type="formula" val="0"/>
        <cfvo type="formula" val="3.367088608"/>
        <color rgb="FFE67C73"/>
        <color rgb="FFFFFFFF"/>
        <color rgb="FF57BB8A"/>
      </colorScale>
    </cfRule>
  </conditionalFormatting>
  <conditionalFormatting sqref="M6:M13 M15:M23">
    <cfRule type="colorScale" priority="2">
      <colorScale>
        <cfvo type="min"/>
        <cfvo type="max"/>
        <color rgb="FFFFFFFF"/>
        <color rgb="FFE67C73"/>
      </colorScale>
    </cfRule>
  </conditionalFormatting>
  <printOptions/>
  <pageMargins bottom="1.0" footer="0.0" header="0.0" left="0.75" right="0.75" top="1.0"/>
  <pageSetup orientation="landscape"/>
  <drawing r:id="rId1"/>
</worksheet>
</file>